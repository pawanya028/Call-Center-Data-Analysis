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Data_Analysis\Projects\"/>
    </mc:Choice>
  </mc:AlternateContent>
  <xr:revisionPtr revIDLastSave="0" documentId="8_{50434791-EB0C-44FA-B851-DF953D7AA82B}"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 Customer Center Report" sheetId="5" r:id="rId2"/>
    <sheet name=" Pivot_T" sheetId="7" r:id="rId3"/>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8"/>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4" i="7" l="1"/>
  <c r="H75" i="7" s="1"/>
  <c r="I64" i="7"/>
  <c r="H70" i="7" s="1"/>
  <c r="E50" i="7"/>
  <c r="E58" i="7" s="1"/>
  <c r="I67" i="7"/>
  <c r="M67" i="7" s="1"/>
  <c r="H72" i="7" s="1"/>
  <c r="I66" i="7"/>
  <c r="M66" i="7" s="1"/>
  <c r="H71" i="7" s="1"/>
  <c r="R25" i="5" a="1"/>
  <c r="R25"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E54" i="7" l="1"/>
  <c r="F54" i="7"/>
  <c r="F55" i="7"/>
  <c r="F56" i="7"/>
  <c r="F58" i="7"/>
  <c r="F57" i="7"/>
  <c r="E55" i="7"/>
  <c r="E56" i="7"/>
  <c r="E5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7830E1-CF01-4EE0-BAE0-BDE6B752EF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473C4F-182B-4091-B7A7-D3BE531FDBD2}"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9DEAEA02-30E0-4563-BEC0-761034A16C4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<sst xmlns="http://schemas.openxmlformats.org/spreadsheetml/2006/main" count="3165" uniqueCount="1086">
  <si>
    <t>Calls Count</t>
  </si>
  <si>
    <t>Total Amount</t>
  </si>
  <si>
    <t>Total Duration</t>
  </si>
  <si>
    <t>Average Rating</t>
  </si>
  <si>
    <t>Happy callers</t>
  </si>
  <si>
    <t>Row Labels</t>
  </si>
  <si>
    <t>Calls Count2</t>
  </si>
  <si>
    <t>Jan</t>
  </si>
  <si>
    <t>Feb</t>
  </si>
  <si>
    <t>Mar</t>
  </si>
  <si>
    <t>Apr</t>
  </si>
  <si>
    <t>May</t>
  </si>
  <si>
    <t>Jun</t>
  </si>
  <si>
    <t>Jul</t>
  </si>
  <si>
    <t>Aug</t>
  </si>
  <si>
    <t>Sep</t>
  </si>
  <si>
    <t>Oct</t>
  </si>
  <si>
    <t>Nov</t>
  </si>
  <si>
    <t>Dec</t>
  </si>
  <si>
    <t>Grand Total</t>
  </si>
  <si>
    <t>Count of Call number</t>
  </si>
  <si>
    <t>Sum of Purchase Amount</t>
  </si>
  <si>
    <t>R01</t>
  </si>
  <si>
    <t>For Graph</t>
  </si>
  <si>
    <t>Selected Rep</t>
  </si>
  <si>
    <t>Rep</t>
  </si>
  <si>
    <t>Call Number</t>
  </si>
  <si>
    <t>Purchase Amount</t>
  </si>
  <si>
    <t>Sels Calls</t>
  </si>
  <si>
    <t>Amount</t>
  </si>
  <si>
    <t>R02</t>
  </si>
  <si>
    <t>R03</t>
  </si>
  <si>
    <t>R04</t>
  </si>
  <si>
    <t>R05</t>
  </si>
  <si>
    <t xml:space="preserve">Rep summery </t>
  </si>
  <si>
    <t>% of calls</t>
  </si>
  <si>
    <t>calls</t>
  </si>
  <si>
    <t>call rank</t>
  </si>
  <si>
    <t>amount</t>
  </si>
  <si>
    <t>amount rank</t>
  </si>
  <si>
    <t>Column Labels</t>
  </si>
  <si>
    <t>Female</t>
  </si>
  <si>
    <t>Male</t>
  </si>
  <si>
    <t>Cincinnati</t>
  </si>
  <si>
    <t>Cleveland</t>
  </si>
  <si>
    <t>Columbus</t>
  </si>
  <si>
    <t>Sunday</t>
  </si>
  <si>
    <t>Monday</t>
  </si>
  <si>
    <t>Tuesday</t>
  </si>
  <si>
    <t>Wednesday</t>
  </si>
  <si>
    <t>Thursday</t>
  </si>
  <si>
    <t>Friday</t>
  </si>
  <si>
    <t>Saturday</t>
  </si>
  <si>
    <t>C0003</t>
  </si>
  <si>
    <t>C0004</t>
  </si>
  <si>
    <t>C0011</t>
  </si>
  <si>
    <t>C0012</t>
  </si>
  <si>
    <t>C0002</t>
  </si>
  <si>
    <t>C0007</t>
  </si>
  <si>
    <t>C0008</t>
  </si>
  <si>
    <t>C0010</t>
  </si>
  <si>
    <t>C0013</t>
  </si>
  <si>
    <t>C0015</t>
  </si>
  <si>
    <t>C0001</t>
  </si>
  <si>
    <t>C0005</t>
  </si>
  <si>
    <t>C0006</t>
  </si>
  <si>
    <t>C0009</t>
  </si>
  <si>
    <t>C0014</t>
  </si>
  <si>
    <t>Call Centre Data</t>
  </si>
  <si>
    <t>Call number</t>
  </si>
  <si>
    <t>Customer ID</t>
  </si>
  <si>
    <t>Duration</t>
  </si>
  <si>
    <t>Representative</t>
  </si>
  <si>
    <t>Date of Call</t>
  </si>
  <si>
    <t>Satisfaction Rating</t>
  </si>
  <si>
    <t>FY</t>
  </si>
  <si>
    <t>Day of week</t>
  </si>
  <si>
    <t>Duration Bucket</t>
  </si>
  <si>
    <t>Rating rounded</t>
  </si>
  <si>
    <t>Gedner</t>
  </si>
  <si>
    <t>Age</t>
  </si>
  <si>
    <t>City</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</si>
  <si>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</si>
  <si>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</si>
  <si>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</si>
  <si>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</si>
  <si>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</si>
  <si>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</si>
  <si>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</si>
  <si>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</si>
  <si>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</si>
  <si>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</si>
  <si>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</si>
  <si>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</si>
  <si>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</si>
  <si>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</si>
  <si>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</si>
  <si>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</si>
  <si>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</si>
  <si>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</si>
  <si>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</si>
  <si>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</si>
  <si>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</si>
  <si>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</si>
  <si>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</si>
  <si>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</si>
  <si>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</si>
  <si>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</si>
  <si>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</si>
  <si>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</si>
  <si>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</si>
  <si>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</si>
  <si>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</si>
  <si>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</si>
  <si>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</si>
  <si>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</si>
  <si>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</si>
  <si>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</si>
  <si>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</si>
  <si>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</si>
  <si>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</si>
  <si>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</si>
  <si>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</si>
  <si>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</si>
  <si>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</si>
  <si>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</si>
  <si>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</si>
  <si>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</si>
  <si>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</si>
  <si>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</si>
  <si>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</si>
  <si>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</si>
  <si>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</si>
  <si>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</si>
  <si>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</si>
  <si>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</si>
  <si>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</si>
  <si>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</si>
  <si>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</si>
  <si>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</si>
  <si>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</si>
  <si>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</si>
  <si>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</si>
  <si>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</si>
  <si>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</si>
  <si>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</si>
  <si>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</si>
  <si>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</si>
  <si>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</si>
  <si>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</si>
  <si>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</si>
  <si>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</si>
  <si>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</si>
  <si>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</si>
  <si>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</si>
  <si>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</si>
  <si>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</si>
  <si>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</si>
  <si>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</si>
  <si>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</si>
  <si>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</si>
  <si>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</si>
  <si>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</si>
  <si>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</si>
  <si>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</si>
  <si>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</si>
  <si>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</si>
  <si>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</si>
  <si>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</si>
  <si>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</si>
  <si>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</si>
  <si>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</si>
  <si>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</si>
  <si>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</si>
  <si>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</si>
  <si>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</si>
  <si>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</si>
  <si>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</si>
  <si>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</si>
  <si>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</si>
  <si>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</si>
  <si>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</si>
  <si>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</si>
  <si>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</si>
  <si>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</si>
  <si>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</si>
  <si>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</si>
  <si>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</si>
  <si>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</si>
  <si>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</si>
  <si>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</si>
  <si>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</si>
  <si>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</si>
  <si>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</si>
  <si>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</si>
  <si>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</si>
  <si>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</si>
  <si>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</si>
  <si>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</si>
  <si>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</si>
  <si>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</si>
  <si>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</si>
  <si>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</si>
  <si>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</si>
  <si>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</si>
  <si>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</si>
  <si>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</si>
  <si>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</si>
  <si>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</si>
  <si>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</si>
  <si>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</si>
  <si>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</si>
  <si>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</si>
  <si>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</si>
  <si>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</si>
  <si>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</si>
  <si>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</si>
  <si>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</si>
  <si>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</si>
  <si>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</si>
  <si>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</si>
  <si>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</si>
  <si>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</si>
  <si>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</si>
  <si>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</si>
  <si>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</si>
  <si>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</si>
  <si>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</si>
  <si>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</si>
  <si>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</si>
  <si>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</si>
  <si>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</si>
  <si>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</si>
  <si>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</si>
  <si>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</si>
  <si>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</si>
  <si>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</si>
  <si>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</si>
  <si>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</si>
  <si>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</si>
  <si>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</si>
  <si>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</si>
  <si>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</si>
  <si>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</si>
  <si>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</si>
  <si>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</si>
  <si>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</si>
  <si>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</si>
  <si>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</si>
  <si>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</si>
  <si>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</si>
  <si>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</si>
  <si>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</si>
  <si>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</si>
  <si>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</si>
  <si>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</si>
  <si>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</si>
  <si>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</si>
  <si>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</si>
  <si>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</si>
  <si>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</si>
  <si>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</si>
  <si>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</si>
  <si>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</si>
  <si>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</si>
  <si>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</si>
  <si>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</si>
  <si>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</si>
  <si>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</si>
  <si>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</si>
  <si>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</si>
  <si>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</si>
  <si>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</si>
  <si>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</si>
  <si>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</si>
  <si>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</si>
  <si>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</si>
  <si>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</si>
  <si>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</si>
  <si>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</si>
  <si>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</si>
  <si>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</si>
  <si>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</si>
  <si>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</si>
  <si>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</si>
  <si>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</si>
  <si>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</si>
  <si>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</si>
  <si>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</si>
  <si>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</si>
  <si>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</si>
  <si>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</si>
  <si>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</si>
  <si>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</si>
  <si>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</si>
  <si>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</si>
  <si>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</si>
  <si>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</si>
  <si>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</si>
  <si>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</si>
  <si>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</si>
  <si>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</si>
  <si>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</si>
  <si>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</si>
  <si>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</si>
  <si>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</si>
  <si>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</si>
  <si>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</si>
  <si>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</si>
  <si>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</si>
  <si>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</si>
  <si>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</si>
  <si>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</si>
  <si>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</si>
  <si>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</si>
  <si>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</si>
  <si>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</si>
  <si>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</si>
  <si>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</si>
  <si>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</si>
  <si>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</si>
  <si>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</si>
  <si>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</si>
  <si>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</si>
  <si>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</si>
  <si>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</si>
  <si>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</si>
  <si>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</si>
  <si>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</si>
  <si>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</si>
  <si>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</si>
  <si>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</si>
  <si>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</si>
  <si>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</si>
  <si>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</si>
  <si>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</si>
  <si>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</si>
  <si>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</si>
  <si>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</si>
  <si>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</si>
  <si>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</si>
  <si>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</si>
  <si>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</si>
  <si>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</si>
  <si>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</si>
  <si>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</si>
  <si>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</si>
  <si>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</si>
  <si>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</si>
  <si>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</si>
  <si>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</si>
  <si>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</si>
  <si>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</si>
  <si>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</si>
  <si>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</si>
  <si>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</si>
  <si>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</si>
  <si>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</si>
  <si>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</si>
  <si>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</si>
  <si>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</si>
  <si>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</si>
  <si>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</si>
  <si>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</si>
  <si>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</si>
  <si>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</si>
  <si>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</si>
  <si>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</si>
  <si>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</si>
  <si>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</si>
  <si>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</si>
  <si>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</si>
  <si>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</si>
  <si>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</si>
  <si>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</si>
  <si>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</si>
  <si>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</si>
  <si>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</si>
  <si>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</si>
  <si>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</si>
  <si>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</si>
  <si>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</si>
  <si>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</si>
  <si>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</si>
  <si>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</si>
  <si>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</si>
  <si>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</si>
  <si>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</si>
  <si>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</si>
  <si>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</si>
  <si>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</si>
  <si>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</si>
  <si>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</si>
  <si>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</si>
  <si>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</si>
  <si>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</si>
  <si>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</si>
  <si>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</si>
  <si>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</si>
  <si>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</si>
  <si>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</si>
  <si>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</si>
  <si>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</si>
  <si>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</si>
  <si>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</si>
  <si>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</si>
  <si>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</si>
  <si>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</si>
  <si>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</si>
  <si>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</si>
  <si>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</si>
  <si>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</si>
  <si>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</si>
  <si>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</si>
  <si>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</si>
  <si>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</si>
  <si>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</si>
  <si>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</si>
  <si>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</si>
  <si>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</si>
  <si>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</si>
  <si>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</si>
  <si>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</si>
  <si>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</si>
  <si>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</si>
  <si>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</si>
  <si>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</si>
  <si>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</si>
  <si>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</si>
  <si>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</si>
  <si>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</si>
  <si>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</si>
  <si>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</si>
  <si>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</si>
  <si>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</si>
  <si>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</si>
  <si>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</si>
  <si>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</si>
  <si>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</si>
  <si>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</si>
  <si>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</si>
  <si>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</si>
  <si>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</si>
  <si>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</si>
  <si>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</si>
  <si>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</si>
  <si>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</si>
  <si>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</si>
  <si>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</si>
  <si>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</si>
  <si>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</si>
  <si>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</si>
  <si>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</si>
  <si>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</si>
  <si>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</si>
  <si>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</si>
  <si>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</si>
  <si>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</si>
  <si>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</si>
  <si>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</si>
  <si>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</si>
  <si>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</si>
  <si>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</si>
  <si>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</si>
  <si>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</si>
  <si>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</si>
  <si>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</si>
  <si>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</si>
  <si>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</si>
  <si>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</si>
  <si>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</si>
  <si>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</si>
  <si>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</si>
  <si>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</si>
  <si>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</si>
  <si>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</si>
  <si>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</si>
  <si>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</si>
  <si>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</si>
  <si>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</si>
  <si>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</si>
  <si>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</si>
  <si>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</si>
  <si>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</si>
  <si>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</si>
  <si>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</si>
  <si>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</si>
  <si>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</si>
  <si>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</si>
  <si>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</si>
  <si>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</si>
  <si>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</si>
  <si>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</si>
  <si>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</si>
  <si>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</si>
  <si>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</si>
  <si>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</si>
  <si>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</si>
  <si>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</si>
  <si>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</si>
  <si>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</si>
  <si>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</si>
  <si>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</si>
  <si>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</si>
  <si>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</si>
  <si>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</si>
  <si>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</si>
  <si>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</si>
  <si>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</si>
  <si>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</si>
  <si>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</si>
  <si>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</si>
  <si>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</si>
  <si>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</si>
  <si>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</si>
  <si>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</si>
  <si>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</si>
  <si>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</si>
  <si>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</si>
  <si>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</si>
  <si>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</si>
  <si>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</si>
  <si>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</si>
  <si>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</si>
  <si>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</si>
  <si>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</si>
  <si>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</si>
  <si>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</si>
  <si>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</si>
  <si>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</si>
  <si>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</si>
  <si>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</si>
  <si>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</si>
  <si>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</si>
  <si>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</si>
  <si>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</si>
  <si>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</si>
  <si>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</si>
  <si>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</si>
  <si>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</si>
  <si>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</si>
  <si>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</si>
  <si>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</si>
  <si>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</si>
  <si>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</si>
  <si>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</si>
  <si>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</si>
  <si>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</si>
  <si>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</si>
  <si>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</si>
  <si>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</si>
  <si>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</si>
  <si>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</si>
  <si>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</si>
  <si>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</si>
  <si>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</si>
  <si>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</si>
  <si>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</si>
  <si>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</si>
  <si>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</si>
  <si>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</si>
  <si>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</si>
  <si>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</si>
  <si>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</si>
  <si>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</si>
  <si>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</si>
  <si>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</si>
  <si>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</si>
  <si>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</si>
  <si>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</si>
  <si>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</si>
  <si>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</si>
  <si>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</si>
  <si>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</si>
  <si>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</si>
  <si>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</si>
  <si>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</si>
  <si>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</si>
  <si>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</si>
  <si>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</si>
  <si>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</si>
  <si>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</si>
  <si>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</si>
  <si>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</si>
  <si>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</si>
  <si>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</si>
  <si>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</si>
  <si>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</si>
  <si>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</si>
  <si>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</si>
  <si>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</si>
  <si>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</si>
  <si>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</si>
  <si>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</si>
  <si>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</si>
  <si>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</si>
  <si>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</si>
  <si>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</si>
  <si>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</si>
  <si>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</si>
  <si>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</si>
  <si>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</si>
  <si>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</si>
  <si>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</si>
  <si>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</si>
  <si>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</si>
  <si>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</si>
  <si>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</si>
  <si>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</si>
  <si>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</si>
  <si>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</si>
  <si>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</si>
  <si>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</si>
  <si>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</si>
  <si>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</si>
  <si>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</si>
  <si>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</si>
  <si>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</si>
  <si>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</si>
  <si>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</si>
  <si>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</si>
  <si>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</si>
  <si>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</si>
  <si>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</si>
  <si>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</si>
  <si>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</si>
  <si>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</si>
  <si>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</si>
  <si>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</si>
  <si>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</si>
  <si>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</si>
  <si>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</si>
  <si>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</si>
  <si>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</si>
  <si>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</si>
  <si>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</si>
  <si>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</si>
  <si>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</si>
  <si>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</si>
  <si>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</si>
  <si>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</si>
  <si>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</si>
  <si>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</si>
  <si>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</si>
  <si>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</si>
  <si>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</si>
  <si>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</si>
  <si>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</si>
  <si>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</si>
  <si>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</si>
  <si>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</si>
  <si>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</si>
  <si>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</si>
  <si>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</si>
  <si>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</si>
  <si>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</si>
  <si>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</si>
  <si>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</si>
  <si>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</si>
  <si>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</si>
  <si>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</si>
  <si>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</si>
  <si>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</si>
  <si>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</si>
  <si>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</si>
  <si>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</si>
  <si>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</si>
  <si>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</si>
  <si>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</si>
  <si>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</si>
  <si>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</si>
  <si>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</si>
  <si>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</si>
  <si>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</si>
  <si>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</si>
  <si>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</si>
  <si>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</si>
  <si>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</si>
  <si>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</si>
  <si>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</si>
  <si>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</si>
  <si>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</si>
  <si>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</si>
  <si>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</si>
  <si>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</si>
  <si>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</si>
  <si>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</si>
  <si>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</si>
  <si>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</si>
  <si>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</si>
  <si>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</si>
  <si>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</si>
  <si>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</si>
  <si>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</si>
  <si>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</si>
  <si>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</si>
  <si>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</si>
  <si>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</si>
  <si>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</si>
  <si>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</si>
  <si>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</si>
  <si>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</si>
  <si>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</si>
  <si>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</si>
  <si>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</si>
  <si>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</si>
  <si>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</si>
  <si>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</si>
  <si>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</si>
  <si>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</si>
  <si>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</si>
  <si>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</si>
  <si>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</si>
  <si>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</si>
  <si>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</si>
  <si>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</si>
  <si>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</si>
  <si>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</si>
  <si>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</si>
  <si>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</si>
  <si>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</si>
  <si>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</si>
  <si>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</si>
  <si>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</si>
  <si>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</si>
  <si>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</si>
  <si>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</si>
  <si>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</si>
  <si>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</si>
  <si>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</si>
  <si>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</si>
  <si>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</si>
  <si>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</si>
  <si>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</si>
  <si>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</si>
  <si>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</si>
  <si>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</si>
  <si>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</si>
  <si>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</si>
  <si>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</si>
  <si>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</si>
  <si>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</si>
  <si>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</si>
  <si>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</si>
  <si>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</si>
  <si>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</si>
  <si>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</si>
  <si>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</si>
  <si>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</si>
  <si>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</si>
  <si>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</si>
  <si>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</si>
  <si>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</si>
  <si>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</si>
  <si>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</si>
  <si>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</si>
  <si>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</si>
  <si>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</si>
  <si>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</si>
  <si>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</si>
  <si>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</si>
  <si>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</si>
  <si>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</si>
  <si>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</si>
  <si>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</si>
  <si>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</si>
  <si>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</si>
  <si>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</si>
  <si>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</si>
  <si>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</si>
  <si>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</si>
  <si>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</si>
  <si>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</si>
  <si>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</si>
  <si>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</si>
  <si>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</si>
  <si>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</si>
  <si>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</si>
  <si>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</si>
  <si>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</si>
  <si>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</si>
  <si>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</si>
  <si>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</si>
  <si>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</si>
  <si>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</si>
  <si>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</si>
  <si>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</si>
  <si>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</si>
  <si>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</si>
  <si>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</si>
  <si>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</si>
  <si>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</si>
  <si>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</si>
  <si>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</si>
  <si>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</si>
  <si>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</si>
  <si>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</si>
  <si>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</si>
  <si>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</si>
  <si>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</si>
  <si>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</si>
  <si>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</si>
  <si>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</si>
  <si>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</si>
  <si>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</si>
  <si>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</si>
  <si>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</si>
  <si>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</si>
  <si>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</si>
  <si>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</si>
  <si>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</si>
  <si>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</si>
  <si>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</si>
  <si>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</si>
  <si>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</si>
  <si>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</si>
  <si>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</si>
  <si>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</si>
  <si>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</si>
  <si>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</si>
  <si>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</si>
  <si>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</si>
  <si>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</si>
  <si>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</si>
  <si>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</si>
  <si>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</si>
  <si>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</si>
  <si>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</si>
  <si>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</si>
  <si>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</si>
  <si>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</si>
  <si>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</si>
  <si>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</si>
  <si>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</si>
  <si>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</si>
  <si>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</si>
  <si>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</si>
  <si>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</si>
  <si>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</si>
  <si>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</si>
  <si>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</si>
  <si>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</si>
  <si>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</si>
  <si>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</si>
  <si>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</si>
  <si>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</si>
  <si>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</si>
  <si>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</si>
  <si>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</si>
  <si>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</si>
  <si>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</si>
  <si>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</si>
  <si>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</si>
  <si>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</si>
  <si>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</si>
  <si>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</si>
  <si>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</si>
  <si>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</si>
  <si>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</si>
  <si>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</si>
  <si>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</si>
  <si>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</si>
  <si>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</si>
  <si>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</si>
  <si>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</si>
  <si>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</si>
  <si>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</si>
  <si>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</si>
  <si>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</si>
  <si>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</si>
  <si>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</si>
  <si>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</si>
  <si>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</si>
  <si>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</si>
  <si>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</si>
  <si>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</si>
  <si>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</si>
  <si>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</si>
  <si>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</si>
  <si>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</si>
  <si>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</si>
  <si>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</si>
  <si>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</si>
  <si>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</si>
  <si>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</si>
  <si>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</si>
  <si>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</si>
  <si>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</si>
  <si>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</si>
  <si>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</si>
  <si>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</si>
  <si>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</si>
  <si>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</si>
  <si>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</si>
  <si>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</si>
  <si>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</si>
  <si>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</si>
  <si>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</si>
  <si>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</si>
  <si>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</si>
  <si>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</si>
  <si>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</si>
  <si>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</si>
  <si>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</si>
  <si>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</si>
  <si>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</si>
  <si>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</si>
  <si>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</si>
  <si>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</si>
  <si>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</si>
  <si>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</si>
  <si>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</si>
  <si>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</si>
  <si>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</si>
  <si>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</si>
  <si>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</si>
  <si>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</si>
  <si>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</si>
  <si>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</si>
  <si>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</si>
  <si>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</si>
  <si>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</si>
  <si>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</si>
  <si>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</si>
  <si>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</si>
  <si>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</si>
  <si>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</si>
  <si>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</si>
  <si>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</si>
  <si>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</si>
  <si>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</si>
  <si>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</si>
  <si>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</si>
  <si>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</si>
  <si>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</si>
  <si>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</si>
  <si>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</si>
  <si>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</si>
  <si>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</si>
  <si>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</si>
  <si>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</si>
  <si>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</si>
  <si>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</si>
  <si>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</si>
  <si>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</si>
  <si>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</si>
  <si>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</si>
  <si>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</si>
  <si>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</si>
  <si>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</si>
  <si>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</si>
  <si>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</si>
  <si>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</si>
  <si>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</si>
  <si>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</si>
  <si>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</si>
  <si>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</si>
  <si>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</si>
  <si>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</si>
  <si>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</si>
  <si>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</si>
  <si>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</si>
  <si>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</si>
  <si>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</si>
  <si>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</si>
  <si>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</si>
  <si>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</si>
  <si>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</si>
  <si>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</si>
  <si>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</si>
  <si>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</si>
  <si>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</si>
  <si>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</si>
  <si>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</si>
  <si>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</si>
  <si>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</si>
  <si>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</si>
  <si>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</si>
  <si>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</si>
  <si>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</si>
  <si>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</si>
  <si>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</si>
  <si>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</si>
  <si>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</si>
  <si>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</si>
  <si>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</si>
  <si>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</si>
  <si>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</si>
  <si>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</si>
  <si>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</si>
  <si>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</si>
  <si>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</si>
  <si>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</si>
  <si>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</si>
  <si>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</si>
  <si>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</si>
  <si>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</si>
  <si>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</si>
  <si>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</si>
  <si>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</si>
  <si>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</si>
  <si>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</si>
  <si>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</si>
  <si>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</si>
  <si>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</si>
  <si>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</si>
  <si>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</si>
  <si>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</si>
  <si>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</si>
  <si>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</si>
  <si>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</si>
  <si>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</si>
  <si>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</si>
  <si>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</si>
  <si>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</si>
  <si>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</si>
  <si>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</si>
  <si>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</si>
  <si>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</si>
  <si>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</si>
  <si>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</si>
  <si>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</si>
  <si>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</si>
  <si>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</si>
  <si>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</si>
  <si>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</si>
  <si>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</si>
  <si>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</si>
  <si>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</si>
  <si>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</si>
  <si>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</si>
  <si>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</si>
  <si>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</si>
  <si>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</si>
  <si>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</si>
  <si>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</si>
  <si>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</si>
  <si>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</si>
  <si>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</si>
  <si>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</si>
  <si>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</si>
  <si>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</si>
  <si>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</si>
  <si>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</si>
  <si>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</si>
  <si>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</si>
  <si>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</si>
  <si>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</si>
  <si>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</si>
  <si>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</si>
  <si>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</si>
  <si>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</si>
  <si>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</si>
  <si>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</si>
  <si>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</si>
  <si>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</si>
  <si>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</si>
  <si>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</si>
  <si>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</si>
  <si>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</si>
  <si>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</si>
  <si>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</si>
  <si>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</si>
  <si>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</si>
  <si>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</si>
  <si>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</si>
  <si>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</si>
  <si>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</si>
  <si>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</si>
  <si>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</si>
  <si>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</si>
  <si>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</si>
  <si>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</si>
  <si>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</si>
  <si>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</si>
  <si>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</si>
  <si>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</si>
  <si>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</si>
  <si>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</si>
  <si>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</si>
  <si>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</si>
  <si>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</si>
  <si>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 xml:space="preserve"> </t>
  </si>
  <si>
    <t>%</t>
  </si>
  <si>
    <t>A Rank</t>
  </si>
  <si>
    <t>C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</si>
</sst>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
    <numFmt numFmtId="166" formatCode="#,##0.0"/>
    <numFmt numFmtId="167" formatCode="&quot;₹&quot;\ #,##0;#,##0\ \-&quot;₹&quot;;&quot;₹&quot;\ #,##0"/>
    <numFmt numFmtId="168" formatCode="00,&quot;K&quot;"/>
    <numFmt numFmtId="169" formatCode="00.0,&quot;K&quot;"/>
  </numFmts>
  <fonts count="5"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0" tint="-0.499984740745262"/>
      <name val="Arial"/>
      <family val="2"/>
      <scheme val="minor"/>
    </font>
  </fonts>
  <fills count="4">
    <fill>
      <patternFill patternType="none"/>
    </fill>
    <fill>
      <patternFill patternType="gray125"/>
    </fill>
    <fill>
      <patternFill patternType="solid">
        <fgColor theme="7"/>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2" tint="-0.499984740745262"/>
      </top>
      <bottom/>
      <diagonal/>
    </border>
    <border>
      <left/>
      <right style="thin">
        <color theme="2" tint="-0.499984740745262"/>
      </right>
      <top style="thin">
        <color theme="2" tint="-0.499984740745262"/>
      </top>
      <bottom/>
      <diagonal/>
    </border>
    <border>
      <left/>
      <right style="thin">
        <color theme="2" tint="-0.499984740745262"/>
      </right>
      <top/>
      <bottom/>
      <diagonal/>
    </border>
    <border>
      <left/>
      <right/>
      <top/>
      <bottom style="thin">
        <color theme="2" tint="-0.499984740745262"/>
      </bottom>
      <diagonal/>
    </border>
    <border>
      <left/>
      <right style="thin">
        <color theme="2" tint="-0.499984740745262"/>
      </right>
      <top/>
      <bottom style="thin">
        <color theme="2" tint="-0.499984740745262"/>
      </bottom>
      <diagonal/>
    </border>
  </borders>
  <cellStyleXfs count="1">
    <xf numFmtId="0" fontId="0" fillId="0" borderId="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65" fontId="1" fillId="0" borderId="0" xfId="0" applyNumberFormat="1" applyFont="1"/>
    <xf numFmtId="165" fontId="0" fillId="2" borderId="0" xfId="0" applyNumberFormat="1" applyFill="1"/>
    <xf numFmtId="165" fontId="0" fillId="0" borderId="0" xfId="0" applyNumberFormat="1"/>
    <xf numFmtId="0" fontId="0" fillId="0" borderId="0" xfId="0" applyFill="1" applyBorder="1"/>
    <xf numFmtId="3" fontId="0" fillId="0" borderId="0" xfId="0" applyNumberFormat="1" applyFill="1" applyBorder="1"/>
    <xf numFmtId="167" fontId="0" fillId="0" borderId="0" xfId="0" applyNumberFormat="1" applyFill="1" applyBorder="1"/>
    <xf numFmtId="166" fontId="0" fillId="0" borderId="0" xfId="0" applyNumberFormat="1" applyFill="1" applyBorder="1"/>
    <xf numFmtId="0" fontId="0" fillId="0" borderId="0" xfId="0" applyFill="1" applyBorder="1" applyAlignment="1">
      <alignment horizontal="left"/>
    </xf>
    <xf numFmtId="168" fontId="0" fillId="0" borderId="0" xfId="0" applyNumberFormat="1" applyFill="1" applyBorder="1"/>
    <xf numFmtId="165" fontId="0" fillId="0" borderId="0" xfId="0" applyNumberFormat="1" applyFill="1" applyBorder="1"/>
    <xf numFmtId="169" fontId="0" fillId="0" borderId="0" xfId="0" applyNumberFormat="1" applyFill="1" applyBorder="1"/>
    <xf numFmtId="9" fontId="0" fillId="0" borderId="0" xfId="0" applyNumberFormat="1" applyFill="1" applyBorder="1"/>
    <xf numFmtId="0" fontId="0" fillId="0" borderId="0" xfId="0" applyFill="1" applyBorder="1" applyAlignment="1">
      <alignment horizontal="left" indent="1"/>
    </xf>
    <xf numFmtId="0" fontId="0" fillId="3" borderId="0" xfId="0" applyFill="1"/>
    <xf numFmtId="165" fontId="0" fillId="3" borderId="0" xfId="0" applyNumberFormat="1" applyFill="1"/>
    <xf numFmtId="0" fontId="1" fillId="3" borderId="10" xfId="0" applyFont="1" applyFill="1" applyBorder="1"/>
    <xf numFmtId="165" fontId="1" fillId="3" borderId="10" xfId="0" applyNumberFormat="1" applyFont="1" applyFill="1" applyBorder="1"/>
    <xf numFmtId="0" fontId="1" fillId="3" borderId="11" xfId="0" applyFont="1" applyFill="1" applyBorder="1"/>
    <xf numFmtId="0" fontId="1" fillId="3" borderId="0" xfId="0" applyFont="1" applyFill="1"/>
    <xf numFmtId="165" fontId="1" fillId="3" borderId="0" xfId="0" applyNumberFormat="1" applyFont="1" applyFill="1"/>
    <xf numFmtId="0" fontId="1" fillId="3" borderId="12" xfId="0" applyFont="1" applyFill="1" applyBorder="1"/>
    <xf numFmtId="0" fontId="0" fillId="3" borderId="12" xfId="0" applyFill="1" applyBorder="1"/>
    <xf numFmtId="165" fontId="0" fillId="3" borderId="12" xfId="0" applyNumberFormat="1" applyFill="1" applyBorder="1"/>
    <xf numFmtId="0" fontId="4" fillId="3" borderId="0" xfId="0" applyFont="1" applyFill="1"/>
    <xf numFmtId="0" fontId="4" fillId="3" borderId="0" xfId="0" applyFont="1" applyFill="1" applyAlignment="1">
      <alignment vertical="center"/>
    </xf>
    <xf numFmtId="0" fontId="0" fillId="3" borderId="13" xfId="0" applyFill="1" applyBorder="1"/>
    <xf numFmtId="165" fontId="0" fillId="3" borderId="13" xfId="0" applyNumberFormat="1" applyFill="1" applyBorder="1"/>
    <xf numFmtId="165" fontId="0" fillId="3" borderId="14" xfId="0" applyNumberFormat="1" applyFill="1" applyBorder="1"/>
  </cellXfs>
  <cellStyles count="1">
    <cellStyle name="Normal" xfId="0" builtinId="0"/>
  </cellStyles>
  <dxfs count="218">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5" tint="0.39994506668294322"/>
        </patternFill>
      </fill>
    </dxf>
    <dxf>
      <numFmt numFmtId="165" formatCode="&quot;₹&quot;\ #,##0"/>
    </dxf>
    <dxf>
      <numFmt numFmtId="165" formatCode="&quot;₹&quot;\ #,##0"/>
    </dxf>
    <dxf>
      <numFmt numFmtId="165" formatCode="&quot;₹&quot;\ #,##0"/>
    </dxf>
    <dxf>
      <numFmt numFmtId="165" formatCode="&quot;₹&quot;\ #,##0"/>
    </dxf>
    <dxf>
      <numFmt numFmtId="165" formatCode="&quot;₹&quot;\ #,##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5" formatCode="&quot;₹&quot;\ #,##0"/>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17"/>
    </tableStyle>
  </tableStyles>
  <colors>
    <mruColors>
      <color rgb="FFFFFFCC"/>
      <color rgb="FF786DE5"/>
      <color rgb="FF8C7ED4"/>
      <color rgb="FFE8F6FC"/>
      <color rgb="FF9F97BB"/>
      <color rgb="FF6F80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[Calls_Center_Report.xlsx] Pivot_T!PivotTable3</c:name>
    <c:fmtId val="1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Calls</a:t>
            </a:r>
            <a:r>
              <a:rPr lang="en-IN" baseline="0"/>
              <a:t> By Month</a:t>
            </a:r>
            <a:endParaRPr lang="en-IN"/>
          </a:p>
        </c:rich>
      </c:tx>
      <c:layout>
        <c:manualLayout>
          <c:xMode val="edge"/>
          <c:yMode val="edge"/>
          <c:x val="5.6210398597586968E-2"/>
          <c:y val="1.5704795590859083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76000">
                <a:schemeClr val="accent3">
                  <a:lumMod val="60000"/>
                  <a:lumOff val="40000"/>
                  <a:alpha val="46000"/>
                </a:schemeClr>
              </a:gs>
              <a:gs pos="0">
                <a:schemeClr val="accent3">
                  <a:lumMod val="50000"/>
                  <a:alpha val="52000"/>
                </a:schemeClr>
              </a:gs>
            </a:gsLst>
            <a:lin ang="5400000" scaled="1"/>
          </a:gradFill>
          <a:ln w="9525" cap="flat" cmpd="sng" algn="ctr">
            <a:gradFill>
              <a:gsLst>
                <a:gs pos="14000">
                  <a:schemeClr val="accent1">
                    <a:lumMod val="45000"/>
                    <a:lumOff val="55000"/>
                  </a:schemeClr>
                </a:gs>
                <a:gs pos="3000">
                  <a:schemeClr val="accent1">
                    <a:lumMod val="45000"/>
                    <a:lumOff val="55000"/>
                  </a:schemeClr>
                </a:gs>
                <a:gs pos="18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46375924968036E-2"/>
          <c:y val="0.13048926170026554"/>
          <c:w val="0.92551107185779891"/>
          <c:h val="0.78252565498868132"/>
        </c:manualLayout>
      </c:layout>
      <c:areaChart>
        <c:grouping val="standard"/>
        <c:varyColors val="0"/>
        <c:ser>
          <c:idx val="1"/>
          <c:order val="1"/>
          <c:tx>
            <c:strRef>
              <c:f>' Pivot_T'!$D$23</c:f>
              <c:strCache>
                <c:ptCount val="1"/>
                <c:pt idx="0">
                  <c:v>Calls Count2</c:v>
                </c:pt>
              </c:strCache>
            </c:strRef>
          </c:tx>
          <c:spPr>
            <a:gradFill rotWithShape="1">
              <a:gsLst>
                <a:gs pos="76000">
                  <a:schemeClr val="accent3">
                    <a:lumMod val="60000"/>
                    <a:lumOff val="40000"/>
                    <a:alpha val="46000"/>
                  </a:schemeClr>
                </a:gs>
                <a:gs pos="0">
                  <a:schemeClr val="accent3">
                    <a:lumMod val="50000"/>
                    <a:alpha val="52000"/>
                  </a:schemeClr>
                </a:gs>
              </a:gsLst>
              <a:lin ang="5400000" scaled="1"/>
            </a:gradFill>
            <a:ln w="9525" cap="flat" cmpd="sng" algn="ctr">
              <a:gradFill>
                <a:gsLst>
                  <a:gs pos="14000">
                    <a:schemeClr val="accent1">
                      <a:lumMod val="45000"/>
                      <a:lumOff val="55000"/>
                    </a:schemeClr>
                  </a:gs>
                  <a:gs pos="3000">
                    <a:schemeClr val="accent1">
                      <a:lumMod val="45000"/>
                      <a:lumOff val="55000"/>
                    </a:schemeClr>
                  </a:gs>
                  <a:gs pos="18000">
                    <a:schemeClr val="accent1">
                      <a:lumMod val="30000"/>
                      <a:lumOff val="70000"/>
                    </a:schemeClr>
                  </a:gs>
                </a:gsLst>
                <a:lin ang="5400000" scaled="1"/>
              </a:gra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Pivot_T'!$B$24:$B$36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Pivot_T'!$D$24:$D$36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0622-4222-BE1A-5D585BBC3F4E}"/>
            </c:ext>
          </c:extLst>
        </c:ser>
        <c:dLbls>
          <c:showLegendKey val="0"/>
          <c:showVal val="1"/>
          <c:showCatName val="0"/>
          <c:showSerName val="0"/>
          <c:showPercent val="0"/>
          <c:showBubbleSize val="0"/>
        </c:dLbls>
        <c:axId val="783027232"/>
        <c:axId val="770433408"/>
      </c:areaChart>
      <c:lineChart>
        <c:grouping val="stacked"/>
        <c:varyColors val="0"/>
        <c:ser>
          <c:idx val="0"/>
          <c:order val="0"/>
          <c:tx>
            <c:strRef>
              <c:f>' Pivot_T'!$C$23</c:f>
              <c:strCache>
                <c:ptCount val="1"/>
                <c:pt idx="0">
                  <c:v>Calls Count</c:v>
                </c:pt>
              </c:strCache>
            </c:strRef>
          </c:tx>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Pivot_T'!$B$24:$B$36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Pivot_T'!$C$24:$C$36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0622-4222-BE1A-5D585BBC3F4E}"/>
            </c:ext>
          </c:extLst>
        </c:ser>
        <c:dLbls>
          <c:showLegendKey val="0"/>
          <c:showVal val="1"/>
          <c:showCatName val="0"/>
          <c:showSerName val="0"/>
          <c:showPercent val="0"/>
          <c:showBubbleSize val="0"/>
        </c:dLbls>
        <c:marker val="1"/>
        <c:smooth val="0"/>
        <c:axId val="783027232"/>
        <c:axId val="770433408"/>
      </c:lineChart>
      <c:catAx>
        <c:axId val="7830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0433408"/>
        <c:crosses val="autoZero"/>
        <c:auto val="1"/>
        <c:lblAlgn val="ctr"/>
        <c:lblOffset val="100"/>
        <c:noMultiLvlLbl val="0"/>
      </c:catAx>
      <c:valAx>
        <c:axId val="77043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8302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a:t>
            </a:r>
          </a:p>
        </c:rich>
      </c:tx>
      <c:layout>
        <c:manualLayout>
          <c:xMode val="edge"/>
          <c:yMode val="edge"/>
          <c:x val="0.11881690019241987"/>
          <c:y val="3.5648512404419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 Pivot_T'!$C$53</c:f>
              <c:strCache>
                <c:ptCount val="1"/>
                <c:pt idx="0">
                  <c:v>Call Number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Pivot_T'!$B$54:$B$58</c:f>
              <c:strCache>
                <c:ptCount val="5"/>
                <c:pt idx="0">
                  <c:v>R01</c:v>
                </c:pt>
                <c:pt idx="1">
                  <c:v>R02</c:v>
                </c:pt>
                <c:pt idx="2">
                  <c:v>R03</c:v>
                </c:pt>
                <c:pt idx="3">
                  <c:v>R04</c:v>
                </c:pt>
                <c:pt idx="4">
                  <c:v>R05</c:v>
                </c:pt>
              </c:strCache>
            </c:strRef>
          </c:cat>
          <c:val>
            <c:numRef>
              <c:f>' Pivot_T'!$C$54:$C$58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FFB-4D39-896B-04BDDA9455DE}"/>
            </c:ext>
          </c:extLst>
        </c:ser>
        <c:ser>
          <c:idx val="1"/>
          <c:order val="1"/>
          <c:tx>
            <c:strRef>
              <c:f>' Pivot_T'!$E$54:$E$58</c:f>
              <c:strCache>
                <c:ptCount val="5"/>
                <c:pt idx="0">
                  <c:v>#N/A</c:v>
                </c:pt>
                <c:pt idx="1">
                  <c:v>218</c:v>
                </c:pt>
                <c:pt idx="2">
                  <c:v>#N/A</c:v>
                </c:pt>
                <c:pt idx="3">
                  <c:v>#N/A</c:v>
                </c:pt>
                <c:pt idx="4">
                  <c:v>#N/A</c:v>
                </c:pt>
              </c:strCache>
            </c:strRef>
          </c:tx>
          <c:spPr>
            <a:gradFill flip="none" rotWithShape="1">
              <a:gsLst>
                <a:gs pos="0">
                  <a:srgbClr val="786DE5"/>
                </a:gs>
                <a:gs pos="48000">
                  <a:srgbClr val="00B0F0"/>
                </a:gs>
                <a:gs pos="100000">
                  <a:schemeClr val="accent2">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 Pivot_T'!$E$54:$E$58</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7FFB-4D39-896B-04BDDA9455DE}"/>
            </c:ext>
          </c:extLst>
        </c:ser>
        <c:dLbls>
          <c:dLblPos val="outEnd"/>
          <c:showLegendKey val="0"/>
          <c:showVal val="1"/>
          <c:showCatName val="0"/>
          <c:showSerName val="0"/>
          <c:showPercent val="0"/>
          <c:showBubbleSize val="0"/>
        </c:dLbls>
        <c:gapWidth val="60"/>
        <c:overlap val="100"/>
        <c:axId val="474330399"/>
        <c:axId val="474327519"/>
      </c:barChart>
      <c:catAx>
        <c:axId val="474330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27519"/>
        <c:crosses val="autoZero"/>
        <c:auto val="1"/>
        <c:lblAlgn val="ctr"/>
        <c:lblOffset val="100"/>
        <c:noMultiLvlLbl val="0"/>
      </c:catAx>
      <c:valAx>
        <c:axId val="474327519"/>
        <c:scaling>
          <c:orientation val="minMax"/>
        </c:scaling>
        <c:delete val="1"/>
        <c:axPos val="t"/>
        <c:numFmt formatCode="General" sourceLinked="1"/>
        <c:majorTickMark val="none"/>
        <c:minorTickMark val="none"/>
        <c:tickLblPos val="nextTo"/>
        <c:crossAx val="47433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p>
        </c:rich>
      </c:tx>
      <c:layout>
        <c:manualLayout>
          <c:xMode val="edge"/>
          <c:yMode val="edge"/>
          <c:x val="4.3914937964144286E-2"/>
          <c:y val="3.24644703892809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8050340421960418E-2"/>
          <c:y val="0.12919229664830428"/>
          <c:w val="0.91184178724526721"/>
          <c:h val="0.8314416295807443"/>
        </c:manualLayout>
      </c:layout>
      <c:barChart>
        <c:barDir val="bar"/>
        <c:grouping val="clustered"/>
        <c:varyColors val="0"/>
        <c:ser>
          <c:idx val="0"/>
          <c:order val="0"/>
          <c:tx>
            <c:strRef>
              <c:f>' Pivot_T'!$D$53</c:f>
              <c:strCache>
                <c:ptCount val="1"/>
                <c:pt idx="0">
                  <c:v>Purchase Amount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Pivot_T'!$B$54:$B$58</c:f>
              <c:strCache>
                <c:ptCount val="5"/>
                <c:pt idx="0">
                  <c:v>R01</c:v>
                </c:pt>
                <c:pt idx="1">
                  <c:v>R02</c:v>
                </c:pt>
                <c:pt idx="2">
                  <c:v>R03</c:v>
                </c:pt>
                <c:pt idx="3">
                  <c:v>R04</c:v>
                </c:pt>
                <c:pt idx="4">
                  <c:v>R05</c:v>
                </c:pt>
              </c:strCache>
            </c:strRef>
          </c:cat>
          <c:val>
            <c:numRef>
              <c:f>' Pivot_T'!$D$54:$D$58</c:f>
              <c:numCache>
                <c:formatCode>00.0,"K"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5A6-4835-ABDB-531B704085C7}"/>
            </c:ext>
          </c:extLst>
        </c:ser>
        <c:ser>
          <c:idx val="1"/>
          <c:order val="1"/>
          <c:tx>
            <c:strRef>
              <c:f>' Pivot_T'!$F$54:$F$58</c:f>
              <c:strCache>
                <c:ptCount val="5"/>
                <c:pt idx="0">
                  <c:v>#N/A</c:v>
                </c:pt>
                <c:pt idx="1">
                  <c:v>20.6K</c:v>
                </c:pt>
                <c:pt idx="2">
                  <c:v>#N/A</c:v>
                </c:pt>
                <c:pt idx="3">
                  <c:v>#N/A</c:v>
                </c:pt>
                <c:pt idx="4">
                  <c:v>#N/A</c:v>
                </c:pt>
              </c:strCache>
            </c:strRef>
          </c:tx>
          <c:spPr>
            <a:gradFill>
              <a:gsLst>
                <a:gs pos="46000">
                  <a:srgbClr val="00B0F0"/>
                </a:gs>
                <a:gs pos="0">
                  <a:srgbClr val="786DE5"/>
                </a:gs>
                <a:gs pos="100000">
                  <a:schemeClr val="accent2">
                    <a:lumMod val="60000"/>
                    <a:lumOff val="40000"/>
                  </a:schemeClr>
                </a:gs>
              </a:gsLst>
              <a:lin ang="16200000" scaled="1"/>
            </a:gra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 Pivot_T'!$F$54:$F$58</c:f>
              <c:numCache>
                <c:formatCode>00.0,"K"</c:formatCode>
                <c:ptCount val="5"/>
                <c:pt idx="0">
                  <c:v>#N/A</c:v>
                </c:pt>
                <c:pt idx="1">
                  <c:v>20581</c:v>
                </c:pt>
                <c:pt idx="2">
                  <c:v>#N/A</c:v>
                </c:pt>
                <c:pt idx="3">
                  <c:v>#N/A</c:v>
                </c:pt>
                <c:pt idx="4">
                  <c:v>#N/A</c:v>
                </c:pt>
              </c:numCache>
            </c:numRef>
          </c:val>
          <c:extLst>
            <c:ext xmlns:c16="http://schemas.microsoft.com/office/drawing/2014/chart" uri="{C3380CC4-5D6E-409C-BE32-E72D297353CC}">
              <c16:uniqueId val="{00000001-B5A6-4835-ABDB-531B704085C7}"/>
            </c:ext>
          </c:extLst>
        </c:ser>
        <c:dLbls>
          <c:dLblPos val="outEnd"/>
          <c:showLegendKey val="0"/>
          <c:showVal val="1"/>
          <c:showCatName val="0"/>
          <c:showSerName val="0"/>
          <c:showPercent val="0"/>
          <c:showBubbleSize val="0"/>
        </c:dLbls>
        <c:gapWidth val="60"/>
        <c:overlap val="100"/>
        <c:axId val="474330399"/>
        <c:axId val="474327519"/>
      </c:barChart>
      <c:catAx>
        <c:axId val="474330399"/>
        <c:scaling>
          <c:orientation val="maxMin"/>
        </c:scaling>
        <c:delete val="1"/>
        <c:axPos val="l"/>
        <c:numFmt formatCode="General" sourceLinked="1"/>
        <c:majorTickMark val="none"/>
        <c:minorTickMark val="none"/>
        <c:tickLblPos val="nextTo"/>
        <c:crossAx val="474327519"/>
        <c:crosses val="autoZero"/>
        <c:auto val="1"/>
        <c:lblAlgn val="ctr"/>
        <c:lblOffset val="100"/>
        <c:noMultiLvlLbl val="0"/>
      </c:catAx>
      <c:valAx>
        <c:axId val="474327519"/>
        <c:scaling>
          <c:orientation val="minMax"/>
        </c:scaling>
        <c:delete val="1"/>
        <c:axPos val="t"/>
        <c:numFmt formatCode="00.0,&quot;K&quot;" sourceLinked="1"/>
        <c:majorTickMark val="none"/>
        <c:minorTickMark val="none"/>
        <c:tickLblPos val="nextTo"/>
        <c:crossAx val="47433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[Calls_Center_Report.xlsx] Pivot_T!PivotTable8</c:name>
    <c:fmtId val="7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manualLayout>
          <c:layoutTarget val="inner"/>
          <c:xMode val="edge"/>
          <c:yMode val="edge"/>
          <c:x val="0.34479708229420514"/>
          <c:y val="0"/>
          <c:w val="0.69440956521218133"/>
          <c:h val="0.97468569640714264"/>
        </c:manualLayout>
      </c:layout>
      <c:barChart>
        <c:barDir val="bar"/>
        <c:grouping val="clustered"/>
        <c:varyColors val="1"/>
        <c:ser>
          <c:idx val="0"/>
          <c:order val="0"/>
          <c:tx>
            <c:strRef>
              <c:f>' Pivot_T'!$B$91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086-4177-8D34-73D88B8F89F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086-4177-8D34-73D88B8F89F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086-4177-8D34-73D88B8F89F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086-4177-8D34-73D88B8F89F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086-4177-8D34-73D88B8F89F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086-4177-8D34-73D88B8F89F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086-4177-8D34-73D88B8F89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Pivot_T'!$A$92:$A$98</c:f>
              <c:strCache>
                <c:ptCount val="7"/>
                <c:pt idx="0">
                  <c:v>Sunday</c:v>
                </c:pt>
                <c:pt idx="1">
                  <c:v>Monday</c:v>
                </c:pt>
                <c:pt idx="2">
                  <c:v>Tuesday</c:v>
                </c:pt>
                <c:pt idx="3">
                  <c:v>Wednesday</c:v>
                </c:pt>
                <c:pt idx="4">
                  <c:v>Thursday</c:v>
                </c:pt>
                <c:pt idx="5">
                  <c:v>Friday</c:v>
                </c:pt>
                <c:pt idx="6">
                  <c:v>Saturday</c:v>
                </c:pt>
              </c:strCache>
            </c:strRef>
          </c:cat>
          <c:val>
            <c:numRef>
              <c:f>' Pivot_T'!$B$92:$B$98</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D623-4EE2-A259-DE1F780F254F}"/>
            </c:ext>
          </c:extLst>
        </c:ser>
        <c:dLbls>
          <c:dLblPos val="outEnd"/>
          <c:showLegendKey val="0"/>
          <c:showVal val="1"/>
          <c:showCatName val="0"/>
          <c:showSerName val="0"/>
          <c:showPercent val="0"/>
          <c:showBubbleSize val="0"/>
        </c:dLbls>
        <c:gapWidth val="60"/>
        <c:axId val="1792358719"/>
        <c:axId val="639367855"/>
      </c:barChart>
      <c:catAx>
        <c:axId val="1792358719"/>
        <c:scaling>
          <c:orientation val="maxMin"/>
        </c:scaling>
        <c:delete val="0"/>
        <c:axPos val="l"/>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67855"/>
        <c:crosses val="autoZero"/>
        <c:auto val="1"/>
        <c:lblAlgn val="ctr"/>
        <c:lblOffset val="100"/>
        <c:tickLblSkip val="1"/>
        <c:noMultiLvlLbl val="0"/>
      </c:catAx>
      <c:valAx>
        <c:axId val="639367855"/>
        <c:scaling>
          <c:orientation val="minMax"/>
        </c:scaling>
        <c:delete val="1"/>
        <c:axPos val="t"/>
        <c:numFmt formatCode="#,##0" sourceLinked="1"/>
        <c:majorTickMark val="out"/>
        <c:minorTickMark val="none"/>
        <c:tickLblPos val="nextTo"/>
        <c:crossAx val="17923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[Calls_Center_Report.xlsx] Pivot_T!PivotTable7</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70C0"/>
                </a:solidFill>
              </a:rPr>
              <a:t>Female</a:t>
            </a:r>
            <a:r>
              <a:rPr lang="en-IN" baseline="0"/>
              <a:t> Vs </a:t>
            </a:r>
            <a:r>
              <a:rPr lang="en-IN" baseline="0">
                <a:solidFill>
                  <a:srgbClr val="00B0F0"/>
                </a:solidFill>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alpha val="32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alpha val="5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 Pivot_T'!$B$79:$B$80</c:f>
              <c:strCache>
                <c:ptCount val="1"/>
                <c:pt idx="0">
                  <c:v>Female</c:v>
                </c:pt>
              </c:strCache>
            </c:strRef>
          </c:tx>
          <c:spPr>
            <a:solidFill>
              <a:schemeClr val="accent1"/>
            </a:solidFill>
            <a:ln>
              <a:noFill/>
            </a:ln>
            <a:effectLst/>
          </c:spPr>
          <c:invertIfNegative val="0"/>
          <c:dLbls>
            <c:spPr>
              <a:solidFill>
                <a:schemeClr val="bg1">
                  <a:alpha val="32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Pivot_T'!$A$81:$A$83</c:f>
              <c:strCache>
                <c:ptCount val="3"/>
                <c:pt idx="0">
                  <c:v>Cincinnati</c:v>
                </c:pt>
                <c:pt idx="1">
                  <c:v>Cleveland</c:v>
                </c:pt>
                <c:pt idx="2">
                  <c:v>Columbus</c:v>
                </c:pt>
              </c:strCache>
            </c:strRef>
          </c:cat>
          <c:val>
            <c:numRef>
              <c:f>' Pivot_T'!$B$81:$B$83</c:f>
              <c:numCache>
                <c:formatCode>#,##0</c:formatCode>
                <c:ptCount val="3"/>
                <c:pt idx="0">
                  <c:v>27</c:v>
                </c:pt>
                <c:pt idx="1">
                  <c:v>76</c:v>
                </c:pt>
                <c:pt idx="2">
                  <c:v>27</c:v>
                </c:pt>
              </c:numCache>
            </c:numRef>
          </c:val>
          <c:extLst>
            <c:ext xmlns:c16="http://schemas.microsoft.com/office/drawing/2014/chart" uri="{C3380CC4-5D6E-409C-BE32-E72D297353CC}">
              <c16:uniqueId val="{00000000-3E7D-48E3-B379-BE247E993A58}"/>
            </c:ext>
          </c:extLst>
        </c:ser>
        <c:ser>
          <c:idx val="1"/>
          <c:order val="1"/>
          <c:tx>
            <c:strRef>
              <c:f>' Pivot_T'!$C$79:$C$80</c:f>
              <c:strCache>
                <c:ptCount val="1"/>
                <c:pt idx="0">
                  <c:v>Male</c:v>
                </c:pt>
              </c:strCache>
            </c:strRef>
          </c:tx>
          <c:spPr>
            <a:solidFill>
              <a:schemeClr val="accent2"/>
            </a:solidFill>
            <a:ln>
              <a:noFill/>
            </a:ln>
            <a:effectLst/>
          </c:spPr>
          <c:invertIfNegative val="0"/>
          <c:dLbls>
            <c:spPr>
              <a:solidFill>
                <a:schemeClr val="bg1">
                  <a:alpha val="5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Pivot_T'!$A$81:$A$83</c:f>
              <c:strCache>
                <c:ptCount val="3"/>
                <c:pt idx="0">
                  <c:v>Cincinnati</c:v>
                </c:pt>
                <c:pt idx="1">
                  <c:v>Cleveland</c:v>
                </c:pt>
                <c:pt idx="2">
                  <c:v>Columbus</c:v>
                </c:pt>
              </c:strCache>
            </c:strRef>
          </c:cat>
          <c:val>
            <c:numRef>
              <c:f>' Pivot_T'!$C$81:$C$83</c:f>
              <c:numCache>
                <c:formatCode>#,##0</c:formatCode>
                <c:ptCount val="3"/>
                <c:pt idx="0">
                  <c:v>35</c:v>
                </c:pt>
                <c:pt idx="1">
                  <c:v>5</c:v>
                </c:pt>
                <c:pt idx="2">
                  <c:v>48</c:v>
                </c:pt>
              </c:numCache>
            </c:numRef>
          </c:val>
          <c:extLst>
            <c:ext xmlns:c16="http://schemas.microsoft.com/office/drawing/2014/chart" uri="{C3380CC4-5D6E-409C-BE32-E72D297353CC}">
              <c16:uniqueId val="{00000001-3E7D-48E3-B379-BE247E993A58}"/>
            </c:ext>
          </c:extLst>
        </c:ser>
        <c:dLbls>
          <c:dLblPos val="ctr"/>
          <c:showLegendKey val="0"/>
          <c:showVal val="1"/>
          <c:showCatName val="0"/>
          <c:showSerName val="0"/>
          <c:showPercent val="0"/>
          <c:showBubbleSize val="0"/>
        </c:dLbls>
        <c:gapWidth val="28"/>
        <c:overlap val="100"/>
        <c:axId val="522008095"/>
        <c:axId val="522036415"/>
      </c:barChart>
      <c:catAx>
        <c:axId val="522008095"/>
        <c:scaling>
          <c:orientation val="minMax"/>
        </c:scaling>
        <c:delete val="1"/>
        <c:axPos val="b"/>
        <c:numFmt formatCode="General" sourceLinked="1"/>
        <c:majorTickMark val="out"/>
        <c:minorTickMark val="none"/>
        <c:tickLblPos val="nextTo"/>
        <c:crossAx val="522036415"/>
        <c:crosses val="autoZero"/>
        <c:auto val="1"/>
        <c:lblAlgn val="ctr"/>
        <c:lblOffset val="100"/>
        <c:noMultiLvlLbl val="0"/>
      </c:catAx>
      <c:valAx>
        <c:axId val="5220364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2200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[Calls_Center_Report.xlsx] Pivot_T!PivotTable9</c:name>
    <c:fmtId val="88"/>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12101331582534471"/>
          <c:y val="0.17391884489515011"/>
          <c:w val="0.81652841011315846"/>
          <c:h val="0.71221633870340983"/>
        </c:manualLayout>
      </c:layout>
      <c:barChart>
        <c:barDir val="col"/>
        <c:grouping val="clustered"/>
        <c:varyColors val="1"/>
        <c:ser>
          <c:idx val="0"/>
          <c:order val="0"/>
          <c:tx>
            <c:strRef>
              <c:f>' Pivot_T'!$B$102</c:f>
              <c:strCache>
                <c:ptCount val="1"/>
                <c:pt idx="0">
                  <c:v>Total</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A544-4BD7-9A82-155C340CA156}"/>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A544-4BD7-9A82-155C340CA156}"/>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A544-4BD7-9A82-155C340CA156}"/>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A544-4BD7-9A82-155C340CA156}"/>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A544-4BD7-9A82-155C340CA156}"/>
              </c:ext>
            </c:extLst>
          </c:dPt>
          <c:cat>
            <c:strRef>
              <c:f>' Pivot_T'!$A$103:$A$107</c:f>
              <c:strCache>
                <c:ptCount val="5"/>
                <c:pt idx="0">
                  <c:v>1</c:v>
                </c:pt>
                <c:pt idx="1">
                  <c:v>2</c:v>
                </c:pt>
                <c:pt idx="2">
                  <c:v>3</c:v>
                </c:pt>
                <c:pt idx="3">
                  <c:v>4</c:v>
                </c:pt>
                <c:pt idx="4">
                  <c:v>5</c:v>
                </c:pt>
              </c:strCache>
            </c:strRef>
          </c:cat>
          <c:val>
            <c:numRef>
              <c:f>' Pivot_T'!$B$103:$B$107</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1920-485F-8018-11BCCDF4E37F}"/>
            </c:ext>
          </c:extLst>
        </c:ser>
        <c:dLbls>
          <c:showLegendKey val="0"/>
          <c:showVal val="0"/>
          <c:showCatName val="0"/>
          <c:showSerName val="0"/>
          <c:showPercent val="0"/>
          <c:showBubbleSize val="0"/>
        </c:dLbls>
        <c:gapWidth val="60"/>
        <c:overlap val="3"/>
        <c:axId val="443416095"/>
        <c:axId val="443439135"/>
      </c:barChart>
      <c:catAx>
        <c:axId val="44341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39135"/>
        <c:crosses val="autoZero"/>
        <c:auto val="1"/>
        <c:lblAlgn val="ctr"/>
        <c:lblOffset val="100"/>
        <c:noMultiLvlLbl val="0"/>
      </c:catAx>
      <c:valAx>
        <c:axId val="443439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1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121920</xdr:colOff>
      <xdr:row>3</xdr:row>
      <xdr:rowOff>106680</xdr:rowOff>
    </xdr:from>
    <xdr:to>
      <xdr:col>3</xdr:col>
      <xdr:colOff>624279</xdr:colOff>
      <xdr:row>8</xdr:row>
      <xdr:rowOff>133684</xdr:rowOff>
    </xdr:to>
    <xdr:sp macro="" textlink="">
      <xdr:nvSpPr>
        <xdr:cNvPr id="2" name="Rectangle: Rounded Corners 1">
          <a:extLst>
            <a:ext uri="{FF2B5EF4-FFF2-40B4-BE49-F238E27FC236}">
              <a16:creationId xmlns:a16="http://schemas.microsoft.com/office/drawing/2014/main" id="{A7C1CC7B-3FA4-7DB8-1DCE-BCA485279A86}"/>
            </a:ext>
          </a:extLst>
        </xdr:cNvPr>
        <xdr:cNvSpPr/>
      </xdr:nvSpPr>
      <xdr:spPr>
        <a:xfrm>
          <a:off x="320546" y="637552"/>
          <a:ext cx="1351032" cy="911791"/>
        </a:xfrm>
        <a:prstGeom prst="roundRect">
          <a:avLst/>
        </a:prstGeom>
        <a:gradFill>
          <a:gsLst>
            <a:gs pos="20000">
              <a:schemeClr val="lt2">
                <a:tint val="93000"/>
                <a:satMod val="150000"/>
                <a:shade val="98000"/>
                <a:lumMod val="102000"/>
              </a:schemeClr>
            </a:gs>
            <a:gs pos="50000">
              <a:schemeClr val="lt2">
                <a:tint val="98000"/>
                <a:satMod val="130000"/>
                <a:shade val="90000"/>
                <a:lumMod val="103000"/>
              </a:schemeClr>
            </a:gs>
            <a:gs pos="100000">
              <a:schemeClr val="lt2">
                <a:shade val="63000"/>
                <a:satMod val="120000"/>
              </a:schemeClr>
            </a:gs>
          </a:gsLst>
        </a:gradFill>
        <a:effectLst>
          <a:outerShdw blurRad="50800" dist="38100" dir="5400000" sx="1000" sy="1000" algn="t" rotWithShape="0">
            <a:prstClr val="black">
              <a:alpha val="40000"/>
            </a:prstClr>
          </a:outerShdw>
          <a:reflection blurRad="6350" stA="48000" endPos="35000" dir="5400000" sy="-100000" algn="bl" rotWithShape="0"/>
          <a:softEdge rad="0"/>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400">
            <a:latin typeface="+mj-lt"/>
          </a:endParaRPr>
        </a:p>
      </xdr:txBody>
    </xdr:sp>
    <xdr:clientData/>
  </xdr:twoCellAnchor>
  <xdr:twoCellAnchor>
    <xdr:from>
      <xdr:col>14</xdr:col>
      <xdr:colOff>7885</xdr:colOff>
      <xdr:row>35</xdr:row>
      <xdr:rowOff>97970</xdr:rowOff>
    </xdr:from>
    <xdr:to>
      <xdr:col>16</xdr:col>
      <xdr:colOff>491703</xdr:colOff>
      <xdr:row>43</xdr:row>
      <xdr:rowOff>0</xdr:rowOff>
    </xdr:to>
    <xdr:sp macro="" textlink="">
      <xdr:nvSpPr>
        <xdr:cNvPr id="6" name="Rectangle: Rounded Corners 5">
          <a:extLst>
            <a:ext uri="{FF2B5EF4-FFF2-40B4-BE49-F238E27FC236}">
              <a16:creationId xmlns:a16="http://schemas.microsoft.com/office/drawing/2014/main" id="{997DD67E-C65D-1B4E-3EE0-C1B44DF2A17D}"/>
            </a:ext>
          </a:extLst>
        </xdr:cNvPr>
        <xdr:cNvSpPr/>
      </xdr:nvSpPr>
      <xdr:spPr>
        <a:xfrm>
          <a:off x="8274430" y="6159334"/>
          <a:ext cx="1800000" cy="1287484"/>
        </a:xfrm>
        <a:prstGeom prst="roundRect">
          <a:avLst/>
        </a:prstGeom>
        <a:solidFill>
          <a:srgbClr val="FFFFCC"/>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solidFill>
              <a:srgbClr val="FFFF00"/>
            </a:solidFill>
          </a:endParaRPr>
        </a:p>
      </xdr:txBody>
    </xdr:sp>
    <xdr:clientData/>
  </xdr:twoCellAnchor>
  <xdr:twoCellAnchor>
    <xdr:from>
      <xdr:col>1</xdr:col>
      <xdr:colOff>144300</xdr:colOff>
      <xdr:row>12</xdr:row>
      <xdr:rowOff>7620</xdr:rowOff>
    </xdr:from>
    <xdr:to>
      <xdr:col>3</xdr:col>
      <xdr:colOff>596976</xdr:colOff>
      <xdr:row>17</xdr:row>
      <xdr:rowOff>15240</xdr:rowOff>
    </xdr:to>
    <xdr:sp macro="" textlink="">
      <xdr:nvSpPr>
        <xdr:cNvPr id="39" name="Rectangle: Rounded Corners 38">
          <a:extLst>
            <a:ext uri="{FF2B5EF4-FFF2-40B4-BE49-F238E27FC236}">
              <a16:creationId xmlns:a16="http://schemas.microsoft.com/office/drawing/2014/main" id="{B1AFF805-6FBF-4235-B92A-C0EB5F702A2C}"/>
            </a:ext>
          </a:extLst>
        </xdr:cNvPr>
        <xdr:cNvSpPr/>
      </xdr:nvSpPr>
      <xdr:spPr>
        <a:xfrm>
          <a:off x="340243" y="2097677"/>
          <a:ext cx="1301762" cy="878477"/>
        </a:xfrm>
        <a:prstGeom prst="roundRect">
          <a:avLst/>
        </a:prstGeom>
        <a:effectLst>
          <a:outerShdw blurRad="50800" dist="38100" dir="5400000" algn="t" rotWithShape="0">
            <a:prstClr val="black">
              <a:alpha val="40000"/>
            </a:prstClr>
          </a:outerShdw>
          <a:reflection blurRad="6350" stA="48000" endPos="35000" dir="5400000" sy="-100000" algn="bl" rotWithShape="0"/>
          <a:softEdge rad="0"/>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400">
            <a:latin typeface="+mj-lt"/>
          </a:endParaRPr>
        </a:p>
      </xdr:txBody>
    </xdr:sp>
    <xdr:clientData/>
  </xdr:twoCellAnchor>
  <xdr:twoCellAnchor>
    <xdr:from>
      <xdr:col>1</xdr:col>
      <xdr:colOff>141357</xdr:colOff>
      <xdr:row>38</xdr:row>
      <xdr:rowOff>49585</xdr:rowOff>
    </xdr:from>
    <xdr:to>
      <xdr:col>3</xdr:col>
      <xdr:colOff>662211</xdr:colOff>
      <xdr:row>43</xdr:row>
      <xdr:rowOff>55334</xdr:rowOff>
    </xdr:to>
    <xdr:sp macro="" textlink="">
      <xdr:nvSpPr>
        <xdr:cNvPr id="59" name="Rectangle: Rounded Corners 58">
          <a:extLst>
            <a:ext uri="{FF2B5EF4-FFF2-40B4-BE49-F238E27FC236}">
              <a16:creationId xmlns:a16="http://schemas.microsoft.com/office/drawing/2014/main" id="{36F1A9D6-BD4B-4E71-B0E6-B83F60F15156}"/>
            </a:ext>
          </a:extLst>
        </xdr:cNvPr>
        <xdr:cNvSpPr/>
      </xdr:nvSpPr>
      <xdr:spPr>
        <a:xfrm>
          <a:off x="340140" y="6764020"/>
          <a:ext cx="1371201" cy="889227"/>
        </a:xfrm>
        <a:prstGeom prst="roundRect">
          <a:avLst/>
        </a:prstGeom>
        <a:effectLst>
          <a:outerShdw blurRad="50800" dist="38100" dir="5400000" algn="t" rotWithShape="0">
            <a:prstClr val="black">
              <a:alpha val="40000"/>
            </a:prstClr>
          </a:outerShdw>
          <a:reflection blurRad="6350" stA="48000" endPos="35000" dir="5400000" sy="-100000" algn="bl" rotWithShape="0"/>
          <a:softEdge rad="0"/>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400">
            <a:latin typeface="+mj-lt"/>
          </a:endParaRPr>
        </a:p>
      </xdr:txBody>
    </xdr:sp>
    <xdr:clientData/>
  </xdr:twoCellAnchor>
  <xdr:twoCellAnchor>
    <xdr:from>
      <xdr:col>1</xdr:col>
      <xdr:colOff>143564</xdr:colOff>
      <xdr:row>29</xdr:row>
      <xdr:rowOff>29707</xdr:rowOff>
    </xdr:from>
    <xdr:to>
      <xdr:col>3</xdr:col>
      <xdr:colOff>630361</xdr:colOff>
      <xdr:row>34</xdr:row>
      <xdr:rowOff>35456</xdr:rowOff>
    </xdr:to>
    <xdr:sp macro="" textlink="">
      <xdr:nvSpPr>
        <xdr:cNvPr id="54" name="Rectangle: Rounded Corners 53">
          <a:extLst>
            <a:ext uri="{FF2B5EF4-FFF2-40B4-BE49-F238E27FC236}">
              <a16:creationId xmlns:a16="http://schemas.microsoft.com/office/drawing/2014/main" id="{BF2FD480-4A08-45CC-A32E-61533677A8F5}"/>
            </a:ext>
          </a:extLst>
        </xdr:cNvPr>
        <xdr:cNvSpPr/>
      </xdr:nvSpPr>
      <xdr:spPr>
        <a:xfrm>
          <a:off x="342347" y="5153881"/>
          <a:ext cx="1337144" cy="889227"/>
        </a:xfrm>
        <a:prstGeom prst="roundRect">
          <a:avLst/>
        </a:prstGeom>
        <a:effectLst>
          <a:outerShdw blurRad="50800" dist="38100" dir="5400000" algn="t" rotWithShape="0">
            <a:prstClr val="black">
              <a:alpha val="40000"/>
            </a:prstClr>
          </a:outerShdw>
          <a:reflection blurRad="6350" stA="48000" endPos="35000" dir="5400000" sy="-100000" algn="bl" rotWithShape="0"/>
          <a:softEdge rad="0"/>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400">
            <a:latin typeface="+mj-lt"/>
          </a:endParaRPr>
        </a:p>
      </xdr:txBody>
    </xdr:sp>
    <xdr:clientData/>
  </xdr:twoCellAnchor>
  <xdr:twoCellAnchor>
    <xdr:from>
      <xdr:col>1</xdr:col>
      <xdr:colOff>130312</xdr:colOff>
      <xdr:row>20</xdr:row>
      <xdr:rowOff>135456</xdr:rowOff>
    </xdr:from>
    <xdr:to>
      <xdr:col>3</xdr:col>
      <xdr:colOff>618075</xdr:colOff>
      <xdr:row>25</xdr:row>
      <xdr:rowOff>135456</xdr:rowOff>
    </xdr:to>
    <xdr:sp macro="" textlink="">
      <xdr:nvSpPr>
        <xdr:cNvPr id="49" name="Rectangle: Rounded Corners 48">
          <a:extLst>
            <a:ext uri="{FF2B5EF4-FFF2-40B4-BE49-F238E27FC236}">
              <a16:creationId xmlns:a16="http://schemas.microsoft.com/office/drawing/2014/main" id="{23F1CC22-2AC9-4BEF-AB7A-BF893340E913}"/>
            </a:ext>
          </a:extLst>
        </xdr:cNvPr>
        <xdr:cNvSpPr/>
      </xdr:nvSpPr>
      <xdr:spPr>
        <a:xfrm>
          <a:off x="329095" y="3669369"/>
          <a:ext cx="1338110" cy="883478"/>
        </a:xfrm>
        <a:prstGeom prst="roundRect">
          <a:avLst/>
        </a:prstGeom>
        <a:effectLst>
          <a:outerShdw blurRad="50800" dist="38100" dir="5400000" algn="t" rotWithShape="0">
            <a:prstClr val="black">
              <a:alpha val="40000"/>
            </a:prstClr>
          </a:outerShdw>
          <a:reflection blurRad="6350" stA="48000" endPos="35000" dir="5400000" sy="-100000" algn="bl" rotWithShape="0"/>
          <a:softEdge rad="0"/>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400">
            <a:latin typeface="+mj-lt"/>
          </a:endParaRPr>
        </a:p>
      </xdr:txBody>
    </xdr:sp>
    <xdr:clientData/>
  </xdr:twoCellAnchor>
  <xdr:twoCellAnchor>
    <xdr:from>
      <xdr:col>4</xdr:col>
      <xdr:colOff>334735</xdr:colOff>
      <xdr:row>23</xdr:row>
      <xdr:rowOff>149680</xdr:rowOff>
    </xdr:from>
    <xdr:to>
      <xdr:col>13</xdr:col>
      <xdr:colOff>531916</xdr:colOff>
      <xdr:row>43</xdr:row>
      <xdr:rowOff>11546</xdr:rowOff>
    </xdr:to>
    <xdr:sp macro="" textlink="">
      <xdr:nvSpPr>
        <xdr:cNvPr id="13" name="Rectangle 12">
          <a:extLst>
            <a:ext uri="{FF2B5EF4-FFF2-40B4-BE49-F238E27FC236}">
              <a16:creationId xmlns:a16="http://schemas.microsoft.com/office/drawing/2014/main" id="{55A1FBD3-E132-0320-8BBE-7DC712BFDCA9}"/>
            </a:ext>
          </a:extLst>
        </xdr:cNvPr>
        <xdr:cNvSpPr/>
      </xdr:nvSpPr>
      <xdr:spPr>
        <a:xfrm>
          <a:off x="2020371" y="4132862"/>
          <a:ext cx="6120000" cy="3325502"/>
        </a:xfrm>
        <a:prstGeom prst="rect">
          <a:avLst/>
        </a:prstGeom>
        <a:solidFill>
          <a:schemeClr val="bg1"/>
        </a:solidFill>
        <a:ln>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297096</xdr:colOff>
      <xdr:row>5</xdr:row>
      <xdr:rowOff>3538</xdr:rowOff>
    </xdr:from>
    <xdr:to>
      <xdr:col>3</xdr:col>
      <xdr:colOff>428370</xdr:colOff>
      <xdr:row>6</xdr:row>
      <xdr:rowOff>176957</xdr:rowOff>
    </xdr:to>
    <xdr:sp macro="" textlink="' Pivot_T'!A4">
      <xdr:nvSpPr>
        <xdr:cNvPr id="3" name="TextBox 2">
          <a:extLst>
            <a:ext uri="{FF2B5EF4-FFF2-40B4-BE49-F238E27FC236}">
              <a16:creationId xmlns:a16="http://schemas.microsoft.com/office/drawing/2014/main" id="{917D452E-F555-0EEC-775A-9C0E37700EDA}"/>
            </a:ext>
          </a:extLst>
        </xdr:cNvPr>
        <xdr:cNvSpPr txBox="1"/>
      </xdr:nvSpPr>
      <xdr:spPr>
        <a:xfrm>
          <a:off x="678096" y="892538"/>
          <a:ext cx="804374" cy="351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870A92-8650-494C-AF0B-7898AEC78D08}" type="TxLink">
            <a:rPr lang="en-US" sz="2000" b="0" i="0" u="none" strike="noStrike">
              <a:solidFill>
                <a:schemeClr val="tx1"/>
              </a:solidFill>
              <a:latin typeface="+mj-lt"/>
              <a:cs typeface="Arial"/>
            </a:rPr>
            <a:pPr/>
            <a:t>1,000</a:t>
          </a:fld>
          <a:endParaRPr lang="en-IN" sz="2000">
            <a:solidFill>
              <a:schemeClr val="tx1"/>
            </a:solidFill>
            <a:latin typeface="+mj-lt"/>
          </a:endParaRPr>
        </a:p>
      </xdr:txBody>
    </xdr:sp>
    <xdr:clientData/>
  </xdr:twoCellAnchor>
  <xdr:twoCellAnchor>
    <xdr:from>
      <xdr:col>2</xdr:col>
      <xdr:colOff>319835</xdr:colOff>
      <xdr:row>3</xdr:row>
      <xdr:rowOff>102671</xdr:rowOff>
    </xdr:from>
    <xdr:to>
      <xdr:col>3</xdr:col>
      <xdr:colOff>319594</xdr:colOff>
      <xdr:row>4</xdr:row>
      <xdr:rowOff>133151</xdr:rowOff>
    </xdr:to>
    <xdr:sp macro="" textlink="">
      <xdr:nvSpPr>
        <xdr:cNvPr id="4" name="TextBox 3">
          <a:extLst>
            <a:ext uri="{FF2B5EF4-FFF2-40B4-BE49-F238E27FC236}">
              <a16:creationId xmlns:a16="http://schemas.microsoft.com/office/drawing/2014/main" id="{E5B7ED1E-54FA-1C28-70EF-EBBF88DEFAF0}"/>
            </a:ext>
          </a:extLst>
        </xdr:cNvPr>
        <xdr:cNvSpPr txBox="1"/>
      </xdr:nvSpPr>
      <xdr:spPr>
        <a:xfrm>
          <a:off x="700835" y="636071"/>
          <a:ext cx="672859" cy="2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j-lt"/>
            </a:rPr>
            <a:t>Calls</a:t>
          </a:r>
        </a:p>
      </xdr:txBody>
    </xdr:sp>
    <xdr:clientData/>
  </xdr:twoCellAnchor>
  <xdr:twoCellAnchor editAs="oneCell">
    <xdr:from>
      <xdr:col>2</xdr:col>
      <xdr:colOff>13031</xdr:colOff>
      <xdr:row>3</xdr:row>
      <xdr:rowOff>148205</xdr:rowOff>
    </xdr:from>
    <xdr:to>
      <xdr:col>2</xdr:col>
      <xdr:colOff>227306</xdr:colOff>
      <xdr:row>5</xdr:row>
      <xdr:rowOff>0</xdr:rowOff>
    </xdr:to>
    <xdr:pic>
      <xdr:nvPicPr>
        <xdr:cNvPr id="5" name="Graphic 4" descr="Receiver with solid fill">
          <a:extLst>
            <a:ext uri="{FF2B5EF4-FFF2-40B4-BE49-F238E27FC236}">
              <a16:creationId xmlns:a16="http://schemas.microsoft.com/office/drawing/2014/main" id="{AF43CA5E-4567-4A6D-9C99-4472055598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509" y="678292"/>
          <a:ext cx="214275" cy="205186"/>
        </a:xfrm>
        <a:prstGeom prst="rect">
          <a:avLst/>
        </a:prstGeom>
      </xdr:spPr>
    </xdr:pic>
    <xdr:clientData/>
  </xdr:twoCellAnchor>
  <xdr:twoCellAnchor>
    <xdr:from>
      <xdr:col>2</xdr:col>
      <xdr:colOff>370347</xdr:colOff>
      <xdr:row>7</xdr:row>
      <xdr:rowOff>61237</xdr:rowOff>
    </xdr:from>
    <xdr:to>
      <xdr:col>3</xdr:col>
      <xdr:colOff>345696</xdr:colOff>
      <xdr:row>8</xdr:row>
      <xdr:rowOff>99336</xdr:rowOff>
    </xdr:to>
    <xdr:sp macro="" textlink="' Pivot_T'!$A$12">
      <xdr:nvSpPr>
        <xdr:cNvPr id="7" name="TextBox 6">
          <a:extLst>
            <a:ext uri="{FF2B5EF4-FFF2-40B4-BE49-F238E27FC236}">
              <a16:creationId xmlns:a16="http://schemas.microsoft.com/office/drawing/2014/main" id="{9B345D75-F287-091D-106E-4726F0F258C9}"/>
            </a:ext>
          </a:extLst>
        </xdr:cNvPr>
        <xdr:cNvSpPr txBox="1"/>
      </xdr:nvSpPr>
      <xdr:spPr>
        <a:xfrm>
          <a:off x="751347" y="1305837"/>
          <a:ext cx="648449" cy="215899"/>
        </a:xfrm>
        <a:prstGeom prst="rect">
          <a:avLst/>
        </a:prstGeom>
        <a:noFill/>
        <a:ln w="9525" cmpd="sng">
          <a:noFill/>
        </a:ln>
        <a:effectLst>
          <a:glow rad="152400">
            <a:schemeClr val="accent1">
              <a:alpha val="40000"/>
            </a:schemeClr>
          </a:glow>
          <a:outerShdw blurRad="1651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628038-AAB2-4F7F-9C50-F1FA38CCD92A}" type="TxLink">
            <a:rPr lang="en-US" sz="1400" b="0" i="0" u="none" strike="noStrike">
              <a:solidFill>
                <a:schemeClr val="tx1">
                  <a:lumMod val="65000"/>
                  <a:lumOff val="35000"/>
                </a:schemeClr>
              </a:solidFill>
              <a:latin typeface="+mj-lt"/>
              <a:cs typeface="Arial"/>
            </a:rPr>
            <a:pPr/>
            <a:t>218</a:t>
          </a:fld>
          <a:endParaRPr lang="en-IN" sz="1400">
            <a:solidFill>
              <a:schemeClr val="tx1">
                <a:lumMod val="65000"/>
                <a:lumOff val="35000"/>
              </a:schemeClr>
            </a:solidFill>
            <a:latin typeface="+mj-lt"/>
          </a:endParaRPr>
        </a:p>
      </xdr:txBody>
    </xdr:sp>
    <xdr:clientData/>
  </xdr:twoCellAnchor>
  <xdr:twoCellAnchor>
    <xdr:from>
      <xdr:col>2</xdr:col>
      <xdr:colOff>47000</xdr:colOff>
      <xdr:row>13</xdr:row>
      <xdr:rowOff>93411</xdr:rowOff>
    </xdr:from>
    <xdr:to>
      <xdr:col>4</xdr:col>
      <xdr:colOff>0</xdr:colOff>
      <xdr:row>16</xdr:row>
      <xdr:rowOff>0</xdr:rowOff>
    </xdr:to>
    <xdr:sp macro="" textlink="' Pivot_T'!$B$4">
      <xdr:nvSpPr>
        <xdr:cNvPr id="40" name="TextBox 39">
          <a:extLst>
            <a:ext uri="{FF2B5EF4-FFF2-40B4-BE49-F238E27FC236}">
              <a16:creationId xmlns:a16="http://schemas.microsoft.com/office/drawing/2014/main" id="{C52BB5A1-CF76-4431-A32C-FCEF68F398D1}"/>
            </a:ext>
          </a:extLst>
        </xdr:cNvPr>
        <xdr:cNvSpPr txBox="1"/>
      </xdr:nvSpPr>
      <xdr:spPr>
        <a:xfrm>
          <a:off x="416455" y="2344775"/>
          <a:ext cx="1269181" cy="426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B3595A-4454-4C6F-A3AF-78A990B2BD6E}" type="TxLink">
            <a:rPr lang="en-US" sz="2000" b="0" i="0" u="none" strike="noStrike">
              <a:solidFill>
                <a:srgbClr val="000000"/>
              </a:solidFill>
              <a:latin typeface="+mj-lt"/>
              <a:cs typeface="Arial"/>
            </a:rPr>
            <a:pPr/>
            <a:t>₹ 96,623</a:t>
          </a:fld>
          <a:endParaRPr lang="en-IN" sz="2000">
            <a:solidFill>
              <a:schemeClr val="tx1"/>
            </a:solidFill>
            <a:latin typeface="+mj-lt"/>
          </a:endParaRPr>
        </a:p>
      </xdr:txBody>
    </xdr:sp>
    <xdr:clientData/>
  </xdr:twoCellAnchor>
  <xdr:twoCellAnchor>
    <xdr:from>
      <xdr:col>2</xdr:col>
      <xdr:colOff>282383</xdr:colOff>
      <xdr:row>11</xdr:row>
      <xdr:rowOff>173345</xdr:rowOff>
    </xdr:from>
    <xdr:to>
      <xdr:col>3</xdr:col>
      <xdr:colOff>379046</xdr:colOff>
      <xdr:row>13</xdr:row>
      <xdr:rowOff>42108</xdr:rowOff>
    </xdr:to>
    <xdr:sp macro="" textlink="">
      <xdr:nvSpPr>
        <xdr:cNvPr id="41" name="TextBox 40">
          <a:extLst>
            <a:ext uri="{FF2B5EF4-FFF2-40B4-BE49-F238E27FC236}">
              <a16:creationId xmlns:a16="http://schemas.microsoft.com/office/drawing/2014/main" id="{5A4A61E2-97F7-416E-BF23-7C3BB15490CC}"/>
            </a:ext>
          </a:extLst>
        </xdr:cNvPr>
        <xdr:cNvSpPr txBox="1"/>
      </xdr:nvSpPr>
      <xdr:spPr>
        <a:xfrm>
          <a:off x="663383" y="2129145"/>
          <a:ext cx="769763" cy="22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j-lt"/>
            </a:rPr>
            <a:t>Amount</a:t>
          </a:r>
        </a:p>
      </xdr:txBody>
    </xdr:sp>
    <xdr:clientData/>
  </xdr:twoCellAnchor>
  <xdr:twoCellAnchor editAs="oneCell">
    <xdr:from>
      <xdr:col>2</xdr:col>
      <xdr:colOff>59273</xdr:colOff>
      <xdr:row>12</xdr:row>
      <xdr:rowOff>52337</xdr:rowOff>
    </xdr:from>
    <xdr:to>
      <xdr:col>2</xdr:col>
      <xdr:colOff>277580</xdr:colOff>
      <xdr:row>13</xdr:row>
      <xdr:rowOff>93687</xdr:rowOff>
    </xdr:to>
    <xdr:pic>
      <xdr:nvPicPr>
        <xdr:cNvPr id="42" name="Graphic 41">
          <a:extLst>
            <a:ext uri="{FF2B5EF4-FFF2-40B4-BE49-F238E27FC236}">
              <a16:creationId xmlns:a16="http://schemas.microsoft.com/office/drawing/2014/main" id="{4A067B6B-3157-44FE-92F7-88A2F35D9E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34751" y="2172685"/>
          <a:ext cx="218307" cy="218045"/>
        </a:xfrm>
        <a:prstGeom prst="rect">
          <a:avLst/>
        </a:prstGeom>
      </xdr:spPr>
    </xdr:pic>
    <xdr:clientData/>
  </xdr:twoCellAnchor>
  <xdr:twoCellAnchor>
    <xdr:from>
      <xdr:col>2</xdr:col>
      <xdr:colOff>194544</xdr:colOff>
      <xdr:row>15</xdr:row>
      <xdr:rowOff>109896</xdr:rowOff>
    </xdr:from>
    <xdr:to>
      <xdr:col>3</xdr:col>
      <xdr:colOff>459287</xdr:colOff>
      <xdr:row>16</xdr:row>
      <xdr:rowOff>167014</xdr:rowOff>
    </xdr:to>
    <xdr:sp macro="" textlink="' Pivot_T'!$B$12">
      <xdr:nvSpPr>
        <xdr:cNvPr id="43" name="TextBox 42">
          <a:extLst>
            <a:ext uri="{FF2B5EF4-FFF2-40B4-BE49-F238E27FC236}">
              <a16:creationId xmlns:a16="http://schemas.microsoft.com/office/drawing/2014/main" id="{44A1A17F-78CC-4109-9D5D-D8546ADD22F5}"/>
            </a:ext>
          </a:extLst>
        </xdr:cNvPr>
        <xdr:cNvSpPr txBox="1"/>
      </xdr:nvSpPr>
      <xdr:spPr>
        <a:xfrm>
          <a:off x="570325" y="2771677"/>
          <a:ext cx="932798" cy="234570"/>
        </a:xfrm>
        <a:prstGeom prst="rect">
          <a:avLst/>
        </a:prstGeom>
        <a:noFill/>
        <a:ln w="9525" cmpd="sng">
          <a:noFill/>
        </a:ln>
        <a:effectLst>
          <a:glow rad="152400">
            <a:schemeClr val="accent1">
              <a:alpha val="40000"/>
            </a:schemeClr>
          </a:glow>
          <a:outerShdw blurRad="1651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8DFB37-5434-4395-B8C9-A11B14A50499}" type="TxLink">
            <a:rPr lang="en-US" sz="1400" b="0" i="0" u="none" strike="noStrike">
              <a:solidFill>
                <a:srgbClr val="000000"/>
              </a:solidFill>
              <a:latin typeface="+mj-lt"/>
              <a:cs typeface="Arial"/>
            </a:rPr>
            <a:pPr/>
            <a:t>₹ 20,581</a:t>
          </a:fld>
          <a:endParaRPr lang="en-IN" sz="1400">
            <a:solidFill>
              <a:schemeClr val="tx1">
                <a:lumMod val="65000"/>
                <a:lumOff val="35000"/>
              </a:schemeClr>
            </a:solidFill>
            <a:latin typeface="+mj-lt"/>
          </a:endParaRPr>
        </a:p>
      </xdr:txBody>
    </xdr:sp>
    <xdr:clientData/>
  </xdr:twoCellAnchor>
  <xdr:twoCellAnchor>
    <xdr:from>
      <xdr:col>2</xdr:col>
      <xdr:colOff>185542</xdr:colOff>
      <xdr:row>21</xdr:row>
      <xdr:rowOff>169610</xdr:rowOff>
    </xdr:from>
    <xdr:to>
      <xdr:col>3</xdr:col>
      <xdr:colOff>527106</xdr:colOff>
      <xdr:row>24</xdr:row>
      <xdr:rowOff>21152</xdr:rowOff>
    </xdr:to>
    <xdr:sp macro="" textlink="' Pivot_T'!$C$4">
      <xdr:nvSpPr>
        <xdr:cNvPr id="50" name="TextBox 49">
          <a:extLst>
            <a:ext uri="{FF2B5EF4-FFF2-40B4-BE49-F238E27FC236}">
              <a16:creationId xmlns:a16="http://schemas.microsoft.com/office/drawing/2014/main" id="{E3E69FC1-616E-4C18-8381-2A2DDBD8EF52}"/>
            </a:ext>
          </a:extLst>
        </xdr:cNvPr>
        <xdr:cNvSpPr txBox="1"/>
      </xdr:nvSpPr>
      <xdr:spPr>
        <a:xfrm>
          <a:off x="555656" y="3827210"/>
          <a:ext cx="1016479" cy="374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33BCA7-1D7E-45F8-BEE3-052B62024A9E}" type="TxLink">
            <a:rPr lang="en-US" sz="2000" b="0" i="0" u="none" strike="noStrike">
              <a:solidFill>
                <a:srgbClr val="000000"/>
              </a:solidFill>
              <a:latin typeface="+mj-lt"/>
              <a:cs typeface="Arial"/>
            </a:rPr>
            <a:pPr/>
            <a:t>89,850</a:t>
          </a:fld>
          <a:endParaRPr lang="en-IN" sz="2000">
            <a:solidFill>
              <a:schemeClr val="tx1"/>
            </a:solidFill>
            <a:latin typeface="+mj-lt"/>
          </a:endParaRPr>
        </a:p>
      </xdr:txBody>
    </xdr:sp>
    <xdr:clientData/>
  </xdr:twoCellAnchor>
  <xdr:twoCellAnchor>
    <xdr:from>
      <xdr:col>2</xdr:col>
      <xdr:colOff>214972</xdr:colOff>
      <xdr:row>20</xdr:row>
      <xdr:rowOff>112986</xdr:rowOff>
    </xdr:from>
    <xdr:to>
      <xdr:col>3</xdr:col>
      <xdr:colOff>437794</xdr:colOff>
      <xdr:row>22</xdr:row>
      <xdr:rowOff>21461</xdr:rowOff>
    </xdr:to>
    <xdr:sp macro="" textlink="">
      <xdr:nvSpPr>
        <xdr:cNvPr id="51" name="TextBox 50">
          <a:extLst>
            <a:ext uri="{FF2B5EF4-FFF2-40B4-BE49-F238E27FC236}">
              <a16:creationId xmlns:a16="http://schemas.microsoft.com/office/drawing/2014/main" id="{79FADBE4-1DE0-4A60-AA64-C1C780AD816E}"/>
            </a:ext>
          </a:extLst>
        </xdr:cNvPr>
        <xdr:cNvSpPr txBox="1"/>
      </xdr:nvSpPr>
      <xdr:spPr>
        <a:xfrm>
          <a:off x="595972" y="3668986"/>
          <a:ext cx="895922" cy="264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j-lt"/>
            </a:rPr>
            <a:t>Duration</a:t>
          </a:r>
        </a:p>
      </xdr:txBody>
    </xdr:sp>
    <xdr:clientData/>
  </xdr:twoCellAnchor>
  <xdr:twoCellAnchor editAs="oneCell">
    <xdr:from>
      <xdr:col>2</xdr:col>
      <xdr:colOff>22531</xdr:colOff>
      <xdr:row>20</xdr:row>
      <xdr:rowOff>151023</xdr:rowOff>
    </xdr:from>
    <xdr:to>
      <xdr:col>2</xdr:col>
      <xdr:colOff>219875</xdr:colOff>
      <xdr:row>22</xdr:row>
      <xdr:rowOff>2076</xdr:rowOff>
    </xdr:to>
    <xdr:pic>
      <xdr:nvPicPr>
        <xdr:cNvPr id="52" name="Graphic 51">
          <a:extLst>
            <a:ext uri="{FF2B5EF4-FFF2-40B4-BE49-F238E27FC236}">
              <a16:creationId xmlns:a16="http://schemas.microsoft.com/office/drawing/2014/main" id="{81CF48E6-B6E1-40F8-AEEC-BA6E2068E2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8009" y="3684936"/>
          <a:ext cx="197344" cy="197082"/>
        </a:xfrm>
        <a:prstGeom prst="rect">
          <a:avLst/>
        </a:prstGeom>
      </xdr:spPr>
    </xdr:pic>
    <xdr:clientData/>
  </xdr:twoCellAnchor>
  <xdr:twoCellAnchor>
    <xdr:from>
      <xdr:col>2</xdr:col>
      <xdr:colOff>274217</xdr:colOff>
      <xdr:row>24</xdr:row>
      <xdr:rowOff>12769</xdr:rowOff>
    </xdr:from>
    <xdr:to>
      <xdr:col>3</xdr:col>
      <xdr:colOff>353812</xdr:colOff>
      <xdr:row>25</xdr:row>
      <xdr:rowOff>130422</xdr:rowOff>
    </xdr:to>
    <xdr:sp macro="" textlink="' Pivot_T'!$C$12">
      <xdr:nvSpPr>
        <xdr:cNvPr id="53" name="TextBox 52">
          <a:extLst>
            <a:ext uri="{FF2B5EF4-FFF2-40B4-BE49-F238E27FC236}">
              <a16:creationId xmlns:a16="http://schemas.microsoft.com/office/drawing/2014/main" id="{DEA3CB3F-191D-4541-B028-E887F281603A}"/>
            </a:ext>
          </a:extLst>
        </xdr:cNvPr>
        <xdr:cNvSpPr txBox="1"/>
      </xdr:nvSpPr>
      <xdr:spPr>
        <a:xfrm>
          <a:off x="644331" y="4192883"/>
          <a:ext cx="754510" cy="291825"/>
        </a:xfrm>
        <a:prstGeom prst="rect">
          <a:avLst/>
        </a:prstGeom>
        <a:noFill/>
        <a:ln w="9525" cmpd="sng">
          <a:noFill/>
        </a:ln>
        <a:effectLst>
          <a:glow rad="152400">
            <a:schemeClr val="accent1">
              <a:alpha val="40000"/>
            </a:schemeClr>
          </a:glow>
          <a:outerShdw blurRad="1651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920B5C-F904-4D44-937E-608B8B1880A4}" type="TxLink">
            <a:rPr lang="en-US" sz="1400" b="0" i="0" u="none" strike="noStrike">
              <a:solidFill>
                <a:srgbClr val="000000"/>
              </a:solidFill>
              <a:latin typeface="+mj-lt"/>
              <a:cs typeface="Arial"/>
            </a:rPr>
            <a:pPr/>
            <a:t>19,300</a:t>
          </a:fld>
          <a:endParaRPr lang="en-IN" sz="1400">
            <a:solidFill>
              <a:schemeClr val="tx1">
                <a:lumMod val="65000"/>
                <a:lumOff val="35000"/>
              </a:schemeClr>
            </a:solidFill>
            <a:latin typeface="+mj-lt"/>
          </a:endParaRPr>
        </a:p>
      </xdr:txBody>
    </xdr:sp>
    <xdr:clientData/>
  </xdr:twoCellAnchor>
  <xdr:twoCellAnchor>
    <xdr:from>
      <xdr:col>2</xdr:col>
      <xdr:colOff>393941</xdr:colOff>
      <xdr:row>30</xdr:row>
      <xdr:rowOff>79017</xdr:rowOff>
    </xdr:from>
    <xdr:to>
      <xdr:col>3</xdr:col>
      <xdr:colOff>306967</xdr:colOff>
      <xdr:row>32</xdr:row>
      <xdr:rowOff>86673</xdr:rowOff>
    </xdr:to>
    <xdr:sp macro="" textlink="' Pivot_T'!$D$4">
      <xdr:nvSpPr>
        <xdr:cNvPr id="55" name="TextBox 54">
          <a:extLst>
            <a:ext uri="{FF2B5EF4-FFF2-40B4-BE49-F238E27FC236}">
              <a16:creationId xmlns:a16="http://schemas.microsoft.com/office/drawing/2014/main" id="{D56B7A68-773A-430A-92A1-CBC8B7A47979}"/>
            </a:ext>
          </a:extLst>
        </xdr:cNvPr>
        <xdr:cNvSpPr txBox="1"/>
      </xdr:nvSpPr>
      <xdr:spPr>
        <a:xfrm>
          <a:off x="769524" y="5387737"/>
          <a:ext cx="584742" cy="361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4FBC1C-F0F7-4827-803C-C8290BFF0142}" type="TxLink">
            <a:rPr lang="en-US" sz="2000" b="0" i="0" u="none" strike="noStrike">
              <a:solidFill>
                <a:srgbClr val="000000"/>
              </a:solidFill>
              <a:latin typeface="+mj-lt"/>
              <a:cs typeface="Arial"/>
            </a:rPr>
            <a:pPr/>
            <a:t>4.0</a:t>
          </a:fld>
          <a:endParaRPr lang="en-IN" sz="2000">
            <a:solidFill>
              <a:schemeClr val="tx1"/>
            </a:solidFill>
            <a:latin typeface="+mj-lt"/>
          </a:endParaRPr>
        </a:p>
      </xdr:txBody>
    </xdr:sp>
    <xdr:clientData/>
  </xdr:twoCellAnchor>
  <xdr:twoCellAnchor>
    <xdr:from>
      <xdr:col>2</xdr:col>
      <xdr:colOff>166822</xdr:colOff>
      <xdr:row>29</xdr:row>
      <xdr:rowOff>18056</xdr:rowOff>
    </xdr:from>
    <xdr:to>
      <xdr:col>3</xdr:col>
      <xdr:colOff>534484</xdr:colOff>
      <xdr:row>30</xdr:row>
      <xdr:rowOff>140843</xdr:rowOff>
    </xdr:to>
    <xdr:sp macro="" textlink="">
      <xdr:nvSpPr>
        <xdr:cNvPr id="56" name="TextBox 55">
          <a:extLst>
            <a:ext uri="{FF2B5EF4-FFF2-40B4-BE49-F238E27FC236}">
              <a16:creationId xmlns:a16="http://schemas.microsoft.com/office/drawing/2014/main" id="{6C2AD51C-C8C2-42FC-B9DF-8DCEC126D8C4}"/>
            </a:ext>
          </a:extLst>
        </xdr:cNvPr>
        <xdr:cNvSpPr txBox="1"/>
      </xdr:nvSpPr>
      <xdr:spPr>
        <a:xfrm>
          <a:off x="542405" y="5149819"/>
          <a:ext cx="1039378" cy="29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j-lt"/>
            </a:rPr>
            <a:t>Avg</a:t>
          </a:r>
          <a:r>
            <a:rPr lang="en-IN" sz="1400" baseline="0">
              <a:latin typeface="+mj-lt"/>
            </a:rPr>
            <a:t> Rating</a:t>
          </a:r>
          <a:endParaRPr lang="en-IN" sz="1400">
            <a:latin typeface="+mj-lt"/>
          </a:endParaRPr>
        </a:p>
      </xdr:txBody>
    </xdr:sp>
    <xdr:clientData/>
  </xdr:twoCellAnchor>
  <xdr:twoCellAnchor editAs="oneCell">
    <xdr:from>
      <xdr:col>1</xdr:col>
      <xdr:colOff>135439</xdr:colOff>
      <xdr:row>29</xdr:row>
      <xdr:rowOff>44529</xdr:rowOff>
    </xdr:from>
    <xdr:to>
      <xdr:col>2</xdr:col>
      <xdr:colOff>286373</xdr:colOff>
      <xdr:row>30</xdr:row>
      <xdr:rowOff>152509</xdr:rowOff>
    </xdr:to>
    <xdr:pic>
      <xdr:nvPicPr>
        <xdr:cNvPr id="57" name="Graphic 56">
          <a:extLst>
            <a:ext uri="{FF2B5EF4-FFF2-40B4-BE49-F238E27FC236}">
              <a16:creationId xmlns:a16="http://schemas.microsoft.com/office/drawing/2014/main" id="{4FD7AC3F-89BD-490D-8527-BF97812200C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9165577">
          <a:off x="334222" y="5168703"/>
          <a:ext cx="327629" cy="284676"/>
        </a:xfrm>
        <a:prstGeom prst="rect">
          <a:avLst/>
        </a:prstGeom>
      </xdr:spPr>
    </xdr:pic>
    <xdr:clientData/>
  </xdr:twoCellAnchor>
  <xdr:twoCellAnchor>
    <xdr:from>
      <xdr:col>2</xdr:col>
      <xdr:colOff>439661</xdr:colOff>
      <xdr:row>32</xdr:row>
      <xdr:rowOff>84627</xdr:rowOff>
    </xdr:from>
    <xdr:to>
      <xdr:col>3</xdr:col>
      <xdr:colOff>210984</xdr:colOff>
      <xdr:row>33</xdr:row>
      <xdr:rowOff>122726</xdr:rowOff>
    </xdr:to>
    <xdr:sp macro="" textlink="' Pivot_T'!$D$12">
      <xdr:nvSpPr>
        <xdr:cNvPr id="58" name="TextBox 57">
          <a:extLst>
            <a:ext uri="{FF2B5EF4-FFF2-40B4-BE49-F238E27FC236}">
              <a16:creationId xmlns:a16="http://schemas.microsoft.com/office/drawing/2014/main" id="{9A2EDCBC-B10E-41D8-9593-5593D0DB5C80}"/>
            </a:ext>
          </a:extLst>
        </xdr:cNvPr>
        <xdr:cNvSpPr txBox="1"/>
      </xdr:nvSpPr>
      <xdr:spPr>
        <a:xfrm>
          <a:off x="815244" y="5747262"/>
          <a:ext cx="443039" cy="215056"/>
        </a:xfrm>
        <a:prstGeom prst="rect">
          <a:avLst/>
        </a:prstGeom>
        <a:noFill/>
        <a:ln w="9525" cmpd="sng">
          <a:noFill/>
        </a:ln>
        <a:effectLst>
          <a:glow rad="152400">
            <a:schemeClr val="accent1">
              <a:alpha val="40000"/>
            </a:schemeClr>
          </a:glow>
          <a:outerShdw blurRad="1651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57513F-C514-4ABB-A7C3-994F0BFA91EC}" type="TxLink">
            <a:rPr lang="en-US" sz="1400" b="0" i="0" u="none" strike="noStrike">
              <a:solidFill>
                <a:srgbClr val="000000"/>
              </a:solidFill>
              <a:latin typeface="+mj-lt"/>
              <a:cs typeface="Arial"/>
            </a:rPr>
            <a:pPr/>
            <a:t>4.0</a:t>
          </a:fld>
          <a:endParaRPr lang="en-US" sz="1400" b="0" i="0" u="none" strike="noStrike">
            <a:solidFill>
              <a:schemeClr val="tx1">
                <a:lumMod val="65000"/>
                <a:lumOff val="35000"/>
              </a:schemeClr>
            </a:solidFill>
            <a:latin typeface="+mj-lt"/>
            <a:cs typeface="Arial"/>
          </a:endParaRPr>
        </a:p>
      </xdr:txBody>
    </xdr:sp>
    <xdr:clientData/>
  </xdr:twoCellAnchor>
  <xdr:twoCellAnchor>
    <xdr:from>
      <xdr:col>2</xdr:col>
      <xdr:colOff>392182</xdr:colOff>
      <xdr:row>39</xdr:row>
      <xdr:rowOff>96279</xdr:rowOff>
    </xdr:from>
    <xdr:to>
      <xdr:col>3</xdr:col>
      <xdr:colOff>484189</xdr:colOff>
      <xdr:row>41</xdr:row>
      <xdr:rowOff>79450</xdr:rowOff>
    </xdr:to>
    <xdr:sp macro="" textlink="' Pivot_T'!$E$4">
      <xdr:nvSpPr>
        <xdr:cNvPr id="60" name="TextBox 59">
          <a:extLst>
            <a:ext uri="{FF2B5EF4-FFF2-40B4-BE49-F238E27FC236}">
              <a16:creationId xmlns:a16="http://schemas.microsoft.com/office/drawing/2014/main" id="{49A9E5FB-CA71-4441-8AB2-7FC9FC4BA1C0}"/>
            </a:ext>
          </a:extLst>
        </xdr:cNvPr>
        <xdr:cNvSpPr txBox="1"/>
      </xdr:nvSpPr>
      <xdr:spPr>
        <a:xfrm>
          <a:off x="773182" y="7030479"/>
          <a:ext cx="765107" cy="338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13C650-C09B-4B1D-AD88-5A1BA41929A3}" type="TxLink">
            <a:rPr lang="en-US" sz="2000" b="0" i="0" u="none" strike="noStrike">
              <a:solidFill>
                <a:srgbClr val="000000"/>
              </a:solidFill>
              <a:latin typeface="+mj-lt"/>
              <a:cs typeface="Arial"/>
            </a:rPr>
            <a:pPr/>
            <a:t>307</a:t>
          </a:fld>
          <a:endParaRPr lang="en-IN" sz="2000">
            <a:solidFill>
              <a:schemeClr val="tx1"/>
            </a:solidFill>
            <a:latin typeface="+mj-lt"/>
          </a:endParaRPr>
        </a:p>
      </xdr:txBody>
    </xdr:sp>
    <xdr:clientData/>
  </xdr:twoCellAnchor>
  <xdr:twoCellAnchor>
    <xdr:from>
      <xdr:col>2</xdr:col>
      <xdr:colOff>199323</xdr:colOff>
      <xdr:row>38</xdr:row>
      <xdr:rowOff>5140</xdr:rowOff>
    </xdr:from>
    <xdr:to>
      <xdr:col>3</xdr:col>
      <xdr:colOff>617545</xdr:colOff>
      <xdr:row>39</xdr:row>
      <xdr:rowOff>144455</xdr:rowOff>
    </xdr:to>
    <xdr:sp macro="" textlink="">
      <xdr:nvSpPr>
        <xdr:cNvPr id="61" name="TextBox 60">
          <a:extLst>
            <a:ext uri="{FF2B5EF4-FFF2-40B4-BE49-F238E27FC236}">
              <a16:creationId xmlns:a16="http://schemas.microsoft.com/office/drawing/2014/main" id="{49D42E81-5C9B-44CC-A90C-B70856DDB555}"/>
            </a:ext>
          </a:extLst>
        </xdr:cNvPr>
        <xdr:cNvSpPr txBox="1"/>
      </xdr:nvSpPr>
      <xdr:spPr>
        <a:xfrm>
          <a:off x="574906" y="6729519"/>
          <a:ext cx="1089938" cy="31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j-lt"/>
            </a:rPr>
            <a:t>Happy</a:t>
          </a:r>
          <a:r>
            <a:rPr lang="en-IN" sz="1400" baseline="0">
              <a:latin typeface="+mj-lt"/>
            </a:rPr>
            <a:t> Calls</a:t>
          </a:r>
          <a:endParaRPr lang="en-IN" sz="1400">
            <a:latin typeface="+mj-lt"/>
          </a:endParaRPr>
        </a:p>
      </xdr:txBody>
    </xdr:sp>
    <xdr:clientData/>
  </xdr:twoCellAnchor>
  <xdr:twoCellAnchor editAs="oneCell">
    <xdr:from>
      <xdr:col>2</xdr:col>
      <xdr:colOff>31464</xdr:colOff>
      <xdr:row>38</xdr:row>
      <xdr:rowOff>60187</xdr:rowOff>
    </xdr:from>
    <xdr:to>
      <xdr:col>2</xdr:col>
      <xdr:colOff>227098</xdr:colOff>
      <xdr:row>39</xdr:row>
      <xdr:rowOff>90703</xdr:rowOff>
    </xdr:to>
    <xdr:pic>
      <xdr:nvPicPr>
        <xdr:cNvPr id="62" name="Graphic 61">
          <a:extLst>
            <a:ext uri="{FF2B5EF4-FFF2-40B4-BE49-F238E27FC236}">
              <a16:creationId xmlns:a16="http://schemas.microsoft.com/office/drawing/2014/main" id="{EC23205C-D8F4-42E0-9E9C-2107BB158E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06942" y="6774622"/>
          <a:ext cx="195634" cy="207211"/>
        </a:xfrm>
        <a:prstGeom prst="rect">
          <a:avLst/>
        </a:prstGeom>
      </xdr:spPr>
    </xdr:pic>
    <xdr:clientData/>
  </xdr:twoCellAnchor>
  <xdr:twoCellAnchor>
    <xdr:from>
      <xdr:col>2</xdr:col>
      <xdr:colOff>432040</xdr:colOff>
      <xdr:row>41</xdr:row>
      <xdr:rowOff>99073</xdr:rowOff>
    </xdr:from>
    <xdr:to>
      <xdr:col>3</xdr:col>
      <xdr:colOff>203363</xdr:colOff>
      <xdr:row>42</xdr:row>
      <xdr:rowOff>137171</xdr:rowOff>
    </xdr:to>
    <xdr:sp macro="" textlink="' Pivot_T'!$E$12">
      <xdr:nvSpPr>
        <xdr:cNvPr id="63" name="TextBox 62">
          <a:extLst>
            <a:ext uri="{FF2B5EF4-FFF2-40B4-BE49-F238E27FC236}">
              <a16:creationId xmlns:a16="http://schemas.microsoft.com/office/drawing/2014/main" id="{B0A238F4-4D91-477F-A9AA-6790C0CE97C3}"/>
            </a:ext>
          </a:extLst>
        </xdr:cNvPr>
        <xdr:cNvSpPr txBox="1"/>
      </xdr:nvSpPr>
      <xdr:spPr>
        <a:xfrm>
          <a:off x="813040" y="7388873"/>
          <a:ext cx="444423" cy="215898"/>
        </a:xfrm>
        <a:prstGeom prst="rect">
          <a:avLst/>
        </a:prstGeom>
        <a:noFill/>
        <a:ln w="9525" cmpd="sng">
          <a:noFill/>
        </a:ln>
        <a:effectLst>
          <a:glow rad="152400">
            <a:schemeClr val="accent1">
              <a:alpha val="40000"/>
            </a:schemeClr>
          </a:glow>
          <a:outerShdw blurRad="1651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E9A558-37C1-4087-BC92-9D404A599636}" type="TxLink">
            <a:rPr lang="en-US" sz="1400" b="0" i="0" u="none" strike="noStrike">
              <a:solidFill>
                <a:srgbClr val="000000"/>
              </a:solidFill>
              <a:latin typeface="+mj-lt"/>
              <a:cs typeface="Arial"/>
            </a:rPr>
            <a:pPr/>
            <a:t>74</a:t>
          </a:fld>
          <a:endParaRPr lang="en-US" sz="1400" b="0" i="0" u="none" strike="noStrike">
            <a:solidFill>
              <a:schemeClr val="tx1">
                <a:lumMod val="65000"/>
                <a:lumOff val="35000"/>
              </a:schemeClr>
            </a:solidFill>
            <a:latin typeface="+mj-lt"/>
            <a:cs typeface="Arial"/>
          </a:endParaRPr>
        </a:p>
      </xdr:txBody>
    </xdr:sp>
    <xdr:clientData/>
  </xdr:twoCellAnchor>
  <xdr:twoCellAnchor editAs="oneCell">
    <xdr:from>
      <xdr:col>14</xdr:col>
      <xdr:colOff>11744</xdr:colOff>
      <xdr:row>24</xdr:row>
      <xdr:rowOff>0</xdr:rowOff>
    </xdr:from>
    <xdr:to>
      <xdr:col>16</xdr:col>
      <xdr:colOff>495562</xdr:colOff>
      <xdr:row>35</xdr:row>
      <xdr:rowOff>10886</xdr:rowOff>
    </xdr:to>
    <mc:AlternateContent xmlns:mc="http://schemas.openxmlformats.org/markup-compatibility/2006" xmlns:a14="http://schemas.microsoft.com/office/drawing/2010/main">
      <mc:Choice Requires="a14">
        <xdr:graphicFrame macro="">
          <xdr:nvGraphicFramePr>
            <xdr:cNvPr id="69" name="Representative 1">
              <a:extLst>
                <a:ext uri="{FF2B5EF4-FFF2-40B4-BE49-F238E27FC236}">
                  <a16:creationId xmlns:a16="http://schemas.microsoft.com/office/drawing/2014/main" id="{46D88429-8D69-4D09-87E8-BEEA6F540A6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278289" y="4156364"/>
              <a:ext cx="1800000" cy="1915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344520</xdr:colOff>
      <xdr:row>3</xdr:row>
      <xdr:rowOff>117261</xdr:rowOff>
    </xdr:from>
    <xdr:to>
      <xdr:col>16</xdr:col>
      <xdr:colOff>624592</xdr:colOff>
      <xdr:row>23</xdr:row>
      <xdr:rowOff>35404</xdr:rowOff>
    </xdr:to>
    <xdr:sp macro="" textlink="">
      <xdr:nvSpPr>
        <xdr:cNvPr id="14" name="Rectangle 13">
          <a:extLst>
            <a:ext uri="{FF2B5EF4-FFF2-40B4-BE49-F238E27FC236}">
              <a16:creationId xmlns:a16="http://schemas.microsoft.com/office/drawing/2014/main" id="{8203C22C-CF01-F86B-B3DF-AF96269EB4C9}"/>
            </a:ext>
          </a:extLst>
        </xdr:cNvPr>
        <xdr:cNvSpPr/>
      </xdr:nvSpPr>
      <xdr:spPr>
        <a:xfrm>
          <a:off x="2068389" y="641917"/>
          <a:ext cx="8374760" cy="3415848"/>
        </a:xfrm>
        <a:prstGeom prst="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318159</xdr:colOff>
      <xdr:row>3</xdr:row>
      <xdr:rowOff>148347</xdr:rowOff>
    </xdr:from>
    <xdr:to>
      <xdr:col>13</xdr:col>
      <xdr:colOff>591632</xdr:colOff>
      <xdr:row>23</xdr:row>
      <xdr:rowOff>97219</xdr:rowOff>
    </xdr:to>
    <xdr:graphicFrame macro="">
      <xdr:nvGraphicFramePr>
        <xdr:cNvPr id="71" name="Chart 70">
          <a:extLst>
            <a:ext uri="{FF2B5EF4-FFF2-40B4-BE49-F238E27FC236}">
              <a16:creationId xmlns:a16="http://schemas.microsoft.com/office/drawing/2014/main" id="{DAA52F64-7568-448A-9CCD-D0807C86C3A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391466</xdr:colOff>
      <xdr:row>23</xdr:row>
      <xdr:rowOff>112206</xdr:rowOff>
    </xdr:from>
    <xdr:to>
      <xdr:col>9</xdr:col>
      <xdr:colOff>176368</xdr:colOff>
      <xdr:row>43</xdr:row>
      <xdr:rowOff>118767</xdr:rowOff>
    </xdr:to>
    <xdr:graphicFrame macro="">
      <xdr:nvGraphicFramePr>
        <xdr:cNvPr id="11" name="Chart 10">
          <a:extLst>
            <a:ext uri="{FF2B5EF4-FFF2-40B4-BE49-F238E27FC236}">
              <a16:creationId xmlns:a16="http://schemas.microsoft.com/office/drawing/2014/main" id="{9151D83D-6F37-42ED-AC0A-ED7A8DDF9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127490</xdr:colOff>
      <xdr:row>23</xdr:row>
      <xdr:rowOff>155751</xdr:rowOff>
    </xdr:from>
    <xdr:to>
      <xdr:col>13</xdr:col>
      <xdr:colOff>629792</xdr:colOff>
      <xdr:row>43</xdr:row>
      <xdr:rowOff>166635</xdr:rowOff>
    </xdr:to>
    <xdr:graphicFrame macro="">
      <xdr:nvGraphicFramePr>
        <xdr:cNvPr id="12" name="Chart 11">
          <a:extLst>
            <a:ext uri="{FF2B5EF4-FFF2-40B4-BE49-F238E27FC236}">
              <a16:creationId xmlns:a16="http://schemas.microsoft.com/office/drawing/2014/main" id="{31E9BFA8-C1E3-4D1E-B9F6-7B6F6B964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466088</xdr:colOff>
      <xdr:row>3</xdr:row>
      <xdr:rowOff>138723</xdr:rowOff>
    </xdr:from>
    <xdr:to>
      <xdr:col>16</xdr:col>
      <xdr:colOff>537150</xdr:colOff>
      <xdr:row>23</xdr:row>
      <xdr:rowOff>46359</xdr:rowOff>
    </xdr:to>
    <xdr:graphicFrame macro="">
      <xdr:nvGraphicFramePr>
        <xdr:cNvPr id="21" name="Chart 20">
          <a:extLst>
            <a:ext uri="{FF2B5EF4-FFF2-40B4-BE49-F238E27FC236}">
              <a16:creationId xmlns:a16="http://schemas.microsoft.com/office/drawing/2014/main" id="{CFE92F9C-A31F-46D1-9FC0-94A64D76A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5965</xdr:colOff>
      <xdr:row>3</xdr:row>
      <xdr:rowOff>114739</xdr:rowOff>
    </xdr:from>
    <xdr:to>
      <xdr:col>20</xdr:col>
      <xdr:colOff>316301</xdr:colOff>
      <xdr:row>23</xdr:row>
      <xdr:rowOff>46182</xdr:rowOff>
    </xdr:to>
    <xdr:graphicFrame macro="">
      <xdr:nvGraphicFramePr>
        <xdr:cNvPr id="20" name="Chart 19">
          <a:extLst>
            <a:ext uri="{FF2B5EF4-FFF2-40B4-BE49-F238E27FC236}">
              <a16:creationId xmlns:a16="http://schemas.microsoft.com/office/drawing/2014/main" id="{8A52925B-E421-45EA-84DF-36EDDD9D3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373811</xdr:colOff>
      <xdr:row>3</xdr:row>
      <xdr:rowOff>128037</xdr:rowOff>
    </xdr:from>
    <xdr:to>
      <xdr:col>24</xdr:col>
      <xdr:colOff>11546</xdr:colOff>
      <xdr:row>23</xdr:row>
      <xdr:rowOff>46181</xdr:rowOff>
    </xdr:to>
    <xdr:graphicFrame macro="">
      <xdr:nvGraphicFramePr>
        <xdr:cNvPr id="22" name="Chart 21">
          <a:extLst>
            <a:ext uri="{FF2B5EF4-FFF2-40B4-BE49-F238E27FC236}">
              <a16:creationId xmlns:a16="http://schemas.microsoft.com/office/drawing/2014/main" id="{6F5695F4-FC72-46AB-A04A-8A4B6D2BF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272143</xdr:colOff>
      <xdr:row>36</xdr:row>
      <xdr:rowOff>37029</xdr:rowOff>
    </xdr:from>
    <xdr:to>
      <xdr:col>16</xdr:col>
      <xdr:colOff>163286</xdr:colOff>
      <xdr:row>38</xdr:row>
      <xdr:rowOff>0</xdr:rowOff>
    </xdr:to>
    <xdr:sp macro="" textlink="' Pivot_T'!H75">
      <xdr:nvSpPr>
        <xdr:cNvPr id="9" name="TextBox 8">
          <a:extLst>
            <a:ext uri="{FF2B5EF4-FFF2-40B4-BE49-F238E27FC236}">
              <a16:creationId xmlns:a16="http://schemas.microsoft.com/office/drawing/2014/main" id="{C870DBA1-0E0F-8BDC-37A8-F502F3CC8CBB}"/>
            </a:ext>
          </a:extLst>
        </xdr:cNvPr>
        <xdr:cNvSpPr txBox="1"/>
      </xdr:nvSpPr>
      <xdr:spPr>
        <a:xfrm>
          <a:off x="8599714" y="6307200"/>
          <a:ext cx="1219201" cy="311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E0BB49B-8559-4872-B33F-2E2D7A02ED5C}" type="TxLink">
            <a:rPr lang="en-US" sz="1200" b="0" i="0" u="none" strike="noStrike">
              <a:solidFill>
                <a:schemeClr val="bg1">
                  <a:lumMod val="50000"/>
                </a:schemeClr>
              </a:solidFill>
              <a:latin typeface="+mj-lt"/>
              <a:cs typeface="Arial"/>
            </a:rPr>
            <a:pPr algn="l"/>
            <a:t>Rep: R02</a:t>
          </a:fld>
          <a:endParaRPr lang="en-IN" sz="1200">
            <a:solidFill>
              <a:schemeClr val="bg1">
                <a:lumMod val="50000"/>
              </a:schemeClr>
            </a:solidFill>
            <a:latin typeface="+mj-lt"/>
          </a:endParaRPr>
        </a:p>
      </xdr:txBody>
    </xdr:sp>
    <xdr:clientData/>
  </xdr:twoCellAnchor>
  <xdr:twoCellAnchor>
    <xdr:from>
      <xdr:col>14</xdr:col>
      <xdr:colOff>261258</xdr:colOff>
      <xdr:row>37</xdr:row>
      <xdr:rowOff>37029</xdr:rowOff>
    </xdr:from>
    <xdr:to>
      <xdr:col>16</xdr:col>
      <xdr:colOff>163286</xdr:colOff>
      <xdr:row>39</xdr:row>
      <xdr:rowOff>0</xdr:rowOff>
    </xdr:to>
    <xdr:sp macro="" textlink="' Pivot_T'!H70">
      <xdr:nvSpPr>
        <xdr:cNvPr id="10" name="TextBox 9">
          <a:extLst>
            <a:ext uri="{FF2B5EF4-FFF2-40B4-BE49-F238E27FC236}">
              <a16:creationId xmlns:a16="http://schemas.microsoft.com/office/drawing/2014/main" id="{809F0B2F-496F-4AA4-A192-A2E5B1F1D35E}"/>
            </a:ext>
          </a:extLst>
        </xdr:cNvPr>
        <xdr:cNvSpPr txBox="1"/>
      </xdr:nvSpPr>
      <xdr:spPr>
        <a:xfrm>
          <a:off x="8588829" y="6481372"/>
          <a:ext cx="1230086" cy="311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5B2B3DB-DBAA-469A-A862-364E328F0C2C}" type="TxLink">
            <a:rPr lang="en-US" sz="1200" b="0" i="0" u="none" strike="noStrike">
              <a:solidFill>
                <a:schemeClr val="bg1">
                  <a:lumMod val="50000"/>
                </a:schemeClr>
              </a:solidFill>
              <a:latin typeface="+mj-lt"/>
              <a:cs typeface="Arial"/>
            </a:rPr>
            <a:pPr algn="l"/>
            <a:t>% of calls: 22%</a:t>
          </a:fld>
          <a:endParaRPr lang="en-IN" sz="1200">
            <a:solidFill>
              <a:schemeClr val="bg1">
                <a:lumMod val="50000"/>
              </a:schemeClr>
            </a:solidFill>
            <a:latin typeface="+mj-lt"/>
          </a:endParaRPr>
        </a:p>
      </xdr:txBody>
    </xdr:sp>
    <xdr:clientData/>
  </xdr:twoCellAnchor>
  <xdr:twoCellAnchor>
    <xdr:from>
      <xdr:col>14</xdr:col>
      <xdr:colOff>272143</xdr:colOff>
      <xdr:row>38</xdr:row>
      <xdr:rowOff>54428</xdr:rowOff>
    </xdr:from>
    <xdr:to>
      <xdr:col>16</xdr:col>
      <xdr:colOff>468086</xdr:colOff>
      <xdr:row>40</xdr:row>
      <xdr:rowOff>0</xdr:rowOff>
    </xdr:to>
    <xdr:sp macro="" textlink="' Pivot_T'!H71">
      <xdr:nvSpPr>
        <xdr:cNvPr id="15" name="TextBox 14">
          <a:extLst>
            <a:ext uri="{FF2B5EF4-FFF2-40B4-BE49-F238E27FC236}">
              <a16:creationId xmlns:a16="http://schemas.microsoft.com/office/drawing/2014/main" id="{287E632F-4DCF-4722-92D8-F4FE9CD89F76}"/>
            </a:ext>
          </a:extLst>
        </xdr:cNvPr>
        <xdr:cNvSpPr txBox="1"/>
      </xdr:nvSpPr>
      <xdr:spPr>
        <a:xfrm>
          <a:off x="8599714" y="6672942"/>
          <a:ext cx="1524001"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4B9FEA3-B715-4059-917F-23961F9C8FD2}" type="TxLink">
            <a:rPr lang="en-US" sz="1200" b="0" i="0" u="none" strike="noStrike">
              <a:solidFill>
                <a:schemeClr val="bg1">
                  <a:lumMod val="50000"/>
                </a:schemeClr>
              </a:solidFill>
              <a:latin typeface="+mj-lt"/>
              <a:cs typeface="Arial"/>
            </a:rPr>
            <a:pPr algn="l"/>
            <a:t>Call Rank: 1</a:t>
          </a:fld>
          <a:endParaRPr lang="en-IN" sz="1200">
            <a:solidFill>
              <a:schemeClr val="bg1">
                <a:lumMod val="50000"/>
              </a:schemeClr>
            </a:solidFill>
            <a:latin typeface="+mj-lt"/>
          </a:endParaRPr>
        </a:p>
      </xdr:txBody>
    </xdr:sp>
    <xdr:clientData/>
  </xdr:twoCellAnchor>
  <xdr:twoCellAnchor>
    <xdr:from>
      <xdr:col>14</xdr:col>
      <xdr:colOff>206829</xdr:colOff>
      <xdr:row>39</xdr:row>
      <xdr:rowOff>32656</xdr:rowOff>
    </xdr:from>
    <xdr:to>
      <xdr:col>16</xdr:col>
      <xdr:colOff>498771</xdr:colOff>
      <xdr:row>41</xdr:row>
      <xdr:rowOff>0</xdr:rowOff>
    </xdr:to>
    <xdr:sp macro="" textlink="' Pivot_T'!H72">
      <xdr:nvSpPr>
        <xdr:cNvPr id="16" name="TextBox 15">
          <a:extLst>
            <a:ext uri="{FF2B5EF4-FFF2-40B4-BE49-F238E27FC236}">
              <a16:creationId xmlns:a16="http://schemas.microsoft.com/office/drawing/2014/main" id="{0FE2C7F1-C7B8-4808-ADA9-B06A29F7A4DF}"/>
            </a:ext>
          </a:extLst>
        </xdr:cNvPr>
        <xdr:cNvSpPr txBox="1"/>
      </xdr:nvSpPr>
      <xdr:spPr>
        <a:xfrm>
          <a:off x="8534400" y="6825342"/>
          <a:ext cx="1620000" cy="31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bg1">
                  <a:lumMod val="50000"/>
                </a:schemeClr>
              </a:solidFill>
              <a:latin typeface="+mj-lt"/>
              <a:cs typeface="Arial"/>
            </a:rPr>
            <a:t>  </a:t>
          </a:r>
          <a:fld id="{45ABDE15-C9EE-496D-B45E-6BFAE97629B7}" type="TxLink">
            <a:rPr lang="en-US" sz="1200" b="0" i="0" u="none" strike="noStrike">
              <a:solidFill>
                <a:schemeClr val="bg1">
                  <a:lumMod val="50000"/>
                </a:schemeClr>
              </a:solidFill>
              <a:latin typeface="+mj-lt"/>
              <a:cs typeface="Arial"/>
            </a:rPr>
            <a:pPr algn="l"/>
            <a:t>Amount Rank: 2</a:t>
          </a:fld>
          <a:endParaRPr lang="en-IN" sz="1200" b="0" i="0" u="none" strike="noStrike">
            <a:solidFill>
              <a:schemeClr val="bg1">
                <a:lumMod val="50000"/>
              </a:schemeClr>
            </a:solidFill>
            <a:latin typeface="+mj-lt"/>
            <a:cs typeface="Arial"/>
          </a:endParaRPr>
        </a:p>
      </xdr:txBody>
    </xdr:sp>
    <xdr:clientData/>
  </xdr:twoCellAnchor>
  <xdr:twoCellAnchor>
    <xdr:from>
      <xdr:col>1</xdr:col>
      <xdr:colOff>142800</xdr:colOff>
      <xdr:row>0</xdr:row>
      <xdr:rowOff>65314</xdr:rowOff>
    </xdr:from>
    <xdr:to>
      <xdr:col>24</xdr:col>
      <xdr:colOff>0</xdr:colOff>
      <xdr:row>3</xdr:row>
      <xdr:rowOff>46800</xdr:rowOff>
    </xdr:to>
    <xdr:sp macro="" textlink="">
      <xdr:nvSpPr>
        <xdr:cNvPr id="17" name="Rectangle: Rounded Corners 16">
          <a:extLst>
            <a:ext uri="{FF2B5EF4-FFF2-40B4-BE49-F238E27FC236}">
              <a16:creationId xmlns:a16="http://schemas.microsoft.com/office/drawing/2014/main" id="{34BA0AFC-3684-FBC8-27B6-450C9757AB1A}"/>
            </a:ext>
          </a:extLst>
        </xdr:cNvPr>
        <xdr:cNvSpPr/>
      </xdr:nvSpPr>
      <xdr:spPr>
        <a:xfrm>
          <a:off x="338743" y="65314"/>
          <a:ext cx="16164000" cy="5040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0</xdr:colOff>
      <xdr:row>0</xdr:row>
      <xdr:rowOff>126514</xdr:rowOff>
    </xdr:from>
    <xdr:to>
      <xdr:col>24</xdr:col>
      <xdr:colOff>0</xdr:colOff>
      <xdr:row>3</xdr:row>
      <xdr:rowOff>0</xdr:rowOff>
    </xdr:to>
    <xdr:sp macro="" textlink="">
      <xdr:nvSpPr>
        <xdr:cNvPr id="18" name="TextBox 17">
          <a:extLst>
            <a:ext uri="{FF2B5EF4-FFF2-40B4-BE49-F238E27FC236}">
              <a16:creationId xmlns:a16="http://schemas.microsoft.com/office/drawing/2014/main" id="{07E12C7E-6030-6AE3-5D26-B426B525CF51}"/>
            </a:ext>
          </a:extLst>
        </xdr:cNvPr>
        <xdr:cNvSpPr txBox="1"/>
      </xdr:nvSpPr>
      <xdr:spPr>
        <a:xfrm>
          <a:off x="359229" y="126514"/>
          <a:ext cx="16143514" cy="3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cap="all" baseline="0">
              <a:latin typeface="+mj-lt"/>
            </a:rPr>
            <a:t>Call Center Report - </a:t>
          </a:r>
          <a:r>
            <a:rPr lang="en-IN" sz="2000" b="1" cap="all" baseline="0">
              <a:solidFill>
                <a:schemeClr val="bg1">
                  <a:lumMod val="50000"/>
                </a:schemeClr>
              </a:solidFill>
              <a:latin typeface="+mj-lt"/>
            </a:rPr>
            <a:t>2023</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859.78129791667" backgroundQuery="1" createdVersion="8" refreshedVersion="8" minRefreshableVersion="3" recordCount="0" supportSubquery="1" supportAdvancedDrill="1" xr:uid="{AA4C257A-8159-4F90-ABC6-4EF81B2E9323}">
  <cacheSource type="external" connectionId="1"/>
  <cacheFields count="5">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7" level="32767"/>
    <cacheField name="[customers].[City].[City]" caption="City" numFmtId="0" hierarchy="15" level="1">
      <sharedItems count="3">
        <s v="Cincinnati"/>
        <s v="Cleveland"/>
        <s v="Columbus"/>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859.829330902779" backgroundQuery="1" createdVersion="8" refreshedVersion="8" minRefreshableVersion="3" recordCount="0" supportSubquery="1" supportAdvancedDrill="1" xr:uid="{D20E1B57-C2BB-423F-BB32-3817E3A59414}">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allers]" caption="Happy caller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allers]" caption="Happy call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39930558" backgroundQuery="1" createdVersion="8" refreshedVersion="8" minRefreshableVersion="3" recordCount="0" supportSubquery="1" supportAdvancedDrill="1" xr:uid="{44A0AA5A-D9F2-49E3-9E4C-03603EC8A03D}">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allers]" caption="Happy caller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allers]" caption="Happy call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40740743" backgroundQuery="1" createdVersion="8" refreshedVersion="8" minRefreshableVersion="3" recordCount="0" supportSubquery="1" supportAdvancedDrill="1" xr:uid="{78DE8CE3-2E4C-4F61-A6EB-2EA686D62147}">
  <cacheSource type="external" connectionId="1"/>
  <cacheFields count="5">
    <cacheField name="[Measures].[Calls Count]" caption="Calls Count" numFmtId="0" hierarchy="17" level="32767"/>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41435182" backgroundQuery="1" createdVersion="8" refreshedVersion="8" minRefreshableVersion="3" recordCount="0" supportSubquery="1" supportAdvancedDrill="1" xr:uid="{BAAFE598-55AC-4AEB-919F-E6F0C296A5D8}">
  <cacheSource type="external" connectionId="1"/>
  <cacheFields count="3">
    <cacheField name="[Measures].[Count of Call number]" caption="Count of Call number" numFmtId="0" hierarchy="26" level="32767"/>
    <cacheField name="[Measures].[Sum of Purchase Amount]" caption="Sum of Purchase Amount" numFmtId="0" hierarchy="27" level="32767"/>
    <cacheField name="[calls].[Representative].[Representative]" caption="Representative" numFmtId="0" hierarchy="3" level="1">
      <sharedItems count="1">
        <s v="R02"/>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41898151" backgroundQuery="1" createdVersion="8" refreshedVersion="8" minRefreshableVersion="3" recordCount="0" supportSubquery="1" supportAdvancedDrill="1" xr:uid="{363B8E06-BC3F-4D47-B854-0414F3195048}">
  <cacheSource type="external" connectionId="1"/>
  <cacheFields count="1">
    <cacheField name="[calls].[Representative].[Representative]" caption="Representative" numFmtId="0" hierarchy="3" level="1">
      <sharedItems count="1">
        <s v="R02"/>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42476852" backgroundQuery="1" createdVersion="8" refreshedVersion="8" minRefreshableVersion="3" recordCount="0" supportSubquery="1" supportAdvancedDrill="1" xr:uid="{E79CC2CA-5C94-461B-946E-3841F8712636}">
  <cacheSource type="external" connectionId="1"/>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s Count]" caption="Calls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43055553" backgroundQuery="1" createdVersion="8" refreshedVersion="8" minRefreshableVersion="3" recordCount="0" supportSubquery="1" supportAdvancedDrill="1" xr:uid="{1B88BC3B-76B0-4CFB-8104-55BA2A2B1BE7}">
  <cacheSource type="external" connectionId="1"/>
  <cacheFields count="3">
    <cacheField name="[Measures].[Calls Count]" caption="Calls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910.924843518522" backgroundQuery="1" createdVersion="8" refreshedVersion="8" minRefreshableVersion="3" recordCount="0" supportSubquery="1" supportAdvancedDrill="1" xr:uid="{CE97B147-B3A5-479F-93E8-63C0EC52D987}">
  <cacheSource type="external" connectionId="1"/>
  <cacheFields count="4">
    <cacheField name="[Measures].[Calls Count]" caption="Calls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3"/>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Kumar Yadav" refreshedDate="45858.423641319445" backgroundQuery="1" createdVersion="3" refreshedVersion="8" minRefreshableVersion="3" recordCount="0" supportSubquery="1" supportAdvancedDrill="1" xr:uid="{719DDF16-50BB-4696-9F3B-FE320893EE6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65882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6A951F-E282-4D52-8CD3-783C7B7C30FB}"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2">
    <format dxfId="195">
      <pivotArea type="all" dataOnly="0" outline="0" fieldPosition="0"/>
    </format>
    <format dxfId="194">
      <pivotArea outline="0" collapsedLevelsAreSubtotals="1" fieldPosition="0"/>
    </format>
    <format dxfId="193">
      <pivotArea dataOnly="0" labelOnly="1" outline="0" fieldPosition="0">
        <references count="1">
          <reference field="4294967294" count="5">
            <x v="0"/>
            <x v="1"/>
            <x v="2"/>
            <x v="3"/>
            <x v="4"/>
          </reference>
        </references>
      </pivotArea>
    </format>
    <format dxfId="146">
      <pivotArea type="all" dataOnly="0" outline="0" fieldPosition="0"/>
    </format>
    <format dxfId="145">
      <pivotArea outline="0" collapsedLevelsAreSubtotals="1" fieldPosition="0"/>
    </format>
    <format dxfId="144">
      <pivotArea dataOnly="0" labelOnly="1" outline="0" fieldPosition="0">
        <references count="1">
          <reference field="4294967294" count="5">
            <x v="0"/>
            <x v="1"/>
            <x v="2"/>
            <x v="3"/>
            <x v="4"/>
          </reference>
        </references>
      </pivotArea>
    </format>
    <format dxfId="97">
      <pivotArea type="all" dataOnly="0" outline="0" fieldPosition="0"/>
    </format>
    <format dxfId="96">
      <pivotArea outline="0" collapsedLevelsAreSubtotals="1" fieldPosition="0"/>
    </format>
    <format dxfId="95">
      <pivotArea dataOnly="0" labelOnly="1" outline="0" fieldPosition="0">
        <references count="1">
          <reference field="4294967294" count="5">
            <x v="0"/>
            <x v="1"/>
            <x v="2"/>
            <x v="3"/>
            <x v="4"/>
          </reference>
        </references>
      </pivotArea>
    </format>
    <format dxfId="48">
      <pivotArea type="all" dataOnly="0" outline="0" fieldPosition="0"/>
    </format>
    <format dxfId="47">
      <pivotArea outline="0" collapsedLevelsAreSubtotals="1" fieldPosition="0"/>
    </format>
    <format dxfId="46">
      <pivotArea dataOnly="0" labelOnly="1" outline="0" fieldPosition="0">
        <references count="1">
          <reference field="4294967294" count="5">
            <x v="0"/>
            <x v="1"/>
            <x v="2"/>
            <x v="3"/>
            <x v="4"/>
          </reference>
        </references>
      </pivotArea>
    </format>
  </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8E5856-7E5B-4B24-AB40-73F6ECC028CB}"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2">
    <format dxfId="192">
      <pivotArea type="all" dataOnly="0" outline="0" fieldPosition="0"/>
    </format>
    <format dxfId="191">
      <pivotArea outline="0" collapsedLevelsAreSubtotals="1" fieldPosition="0"/>
    </format>
    <format dxfId="190">
      <pivotArea dataOnly="0" labelOnly="1" outline="0" fieldPosition="0">
        <references count="1">
          <reference field="4294967294" count="5">
            <x v="0"/>
            <x v="1"/>
            <x v="2"/>
            <x v="3"/>
            <x v="4"/>
          </reference>
        </references>
      </pivotArea>
    </format>
    <format dxfId="143">
      <pivotArea type="all" dataOnly="0" outline="0" fieldPosition="0"/>
    </format>
    <format dxfId="142">
      <pivotArea outline="0" collapsedLevelsAreSubtotals="1" fieldPosition="0"/>
    </format>
    <format dxfId="141">
      <pivotArea dataOnly="0" labelOnly="1" outline="0" fieldPosition="0">
        <references count="1">
          <reference field="4294967294" count="5">
            <x v="0"/>
            <x v="1"/>
            <x v="2"/>
            <x v="3"/>
            <x v="4"/>
          </reference>
        </references>
      </pivotArea>
    </format>
    <format dxfId="94">
      <pivotArea type="all" dataOnly="0" outline="0" fieldPosition="0"/>
    </format>
    <format dxfId="93">
      <pivotArea outline="0" collapsedLevelsAreSubtotals="1" fieldPosition="0"/>
    </format>
    <format dxfId="92">
      <pivotArea dataOnly="0" labelOnly="1" outline="0" fieldPosition="0">
        <references count="1">
          <reference field="4294967294" count="5">
            <x v="0"/>
            <x v="1"/>
            <x v="2"/>
            <x v="3"/>
            <x v="4"/>
          </reference>
        </references>
      </pivotArea>
    </format>
    <format dxfId="45">
      <pivotArea type="all" dataOnly="0" outline="0" fieldPosition="0"/>
    </format>
    <format dxfId="44">
      <pivotArea outline="0" collapsedLevelsAreSubtotals="1" fieldPosition="0"/>
    </format>
    <format dxfId="43">
      <pivotArea dataOnly="0" labelOnly="1" outline="0" fieldPosition="0">
        <references count="1">
          <reference field="4294967294" count="5">
            <x v="0"/>
            <x v="1"/>
            <x v="2"/>
            <x v="3"/>
            <x v="4"/>
          </reference>
        </references>
      </pivotArea>
    </format>
  </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FD7A21-E03F-466C-916D-5A9ED2B64F6C}" name="PivotTable7"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1">
  <location ref="A79:C83"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1"/>
  </colFields>
  <colItems count="2">
    <i>
      <x/>
    </i>
    <i>
      <x v="1"/>
    </i>
  </colItems>
  <dataFields count="1">
    <dataField fld="2" subtotal="count" baseField="0" baseItem="0"/>
  </dataFields>
  <formats count="32">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1" type="button" dataOnly="0" labelOnly="1" outline="0" axis="axisCol" fieldPosition="0"/>
    </format>
    <format dxfId="185">
      <pivotArea type="topRight" dataOnly="0" labelOnly="1" outline="0" fieldPosition="0"/>
    </format>
    <format dxfId="184">
      <pivotArea field="0" type="button" dataOnly="0" labelOnly="1" outline="0" axis="axisRow" fieldPosition="0"/>
    </format>
    <format dxfId="183">
      <pivotArea dataOnly="0" labelOnly="1" fieldPosition="0">
        <references count="1">
          <reference field="0" count="0"/>
        </references>
      </pivotArea>
    </format>
    <format dxfId="182">
      <pivotArea dataOnly="0" labelOnly="1" fieldPosition="0">
        <references count="1">
          <reference field="1" count="0"/>
        </references>
      </pivotArea>
    </format>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1" type="button" dataOnly="0" labelOnly="1" outline="0" axis="axisCol" fieldPosition="0"/>
    </format>
    <format dxfId="136">
      <pivotArea type="topRight" dataOnly="0" labelOnly="1" outline="0" fieldPosition="0"/>
    </format>
    <format dxfId="135">
      <pivotArea field="0" type="button" dataOnly="0" labelOnly="1" outline="0" axis="axisRow" fieldPosition="0"/>
    </format>
    <format dxfId="134">
      <pivotArea dataOnly="0" labelOnly="1" fieldPosition="0">
        <references count="1">
          <reference field="0" count="0"/>
        </references>
      </pivotArea>
    </format>
    <format dxfId="133">
      <pivotArea dataOnly="0" labelOnly="1" fieldPosition="0">
        <references count="1">
          <reference field="1" count="0"/>
        </references>
      </pivotArea>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1" type="button" dataOnly="0" labelOnly="1" outline="0" axis="axisCol" fieldPosition="0"/>
    </format>
    <format dxfId="87">
      <pivotArea type="topRight" dataOnly="0" labelOnly="1" outline="0"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fieldPosition="0">
        <references count="1">
          <reference field="1" count="0"/>
        </references>
      </pivotArea>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 type="button" dataOnly="0" labelOnly="1" outline="0" axis="axisCol" fieldPosition="0"/>
    </format>
    <format dxfId="38">
      <pivotArea type="topRight" dataOnly="0" labelOnly="1" outline="0"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fieldPosition="0">
        <references count="1">
          <reference field="1" count="0"/>
        </references>
      </pivotArea>
    </format>
  </formats>
  <chartFormats count="2">
    <chartFormat chart="58" format="4" series="1">
      <pivotArea type="data" outline="0" fieldPosition="0">
        <references count="2">
          <reference field="4294967294" count="1" selected="0">
            <x v="0"/>
          </reference>
          <reference field="1" count="1" selected="0">
            <x v="0"/>
          </reference>
        </references>
      </pivotArea>
    </chartFormat>
    <chartFormat chart="58"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0B086-1163-4B29-950E-58AE0CB12D20}" name="PivotTable6"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2">
  <location ref="A68:A6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2">
    <format dxfId="181">
      <pivotArea type="all" dataOnly="0" outline="0" fieldPosition="0"/>
    </format>
    <format dxfId="180">
      <pivotArea field="0" type="button" dataOnly="0" labelOnly="1" outline="0" axis="axisRow" fieldPosition="0"/>
    </format>
    <format dxfId="179">
      <pivotArea dataOnly="0" labelOnly="1" fieldPosition="0">
        <references count="1">
          <reference field="0" count="0"/>
        </references>
      </pivotArea>
    </format>
    <format dxfId="132">
      <pivotArea type="all" dataOnly="0" outline="0" fieldPosition="0"/>
    </format>
    <format dxfId="131">
      <pivotArea field="0" type="button" dataOnly="0" labelOnly="1" outline="0" axis="axisRow" fieldPosition="0"/>
    </format>
    <format dxfId="130">
      <pivotArea dataOnly="0" labelOnly="1" fieldPosition="0">
        <references count="1">
          <reference field="0" count="0"/>
        </references>
      </pivotArea>
    </format>
    <format dxfId="83">
      <pivotArea type="all" dataOnly="0" outline="0" fieldPosition="0"/>
    </format>
    <format dxfId="82">
      <pivotArea field="0" type="button" dataOnly="0" labelOnly="1" outline="0" axis="axisRow" fieldPosition="0"/>
    </format>
    <format dxfId="81">
      <pivotArea dataOnly="0" labelOnly="1" fieldPosition="0">
        <references count="1">
          <reference field="0" count="0"/>
        </references>
      </pivotArea>
    </format>
    <format dxfId="34">
      <pivotArea type="all" dataOnly="0" outline="0" fieldPosition="0"/>
    </format>
    <format dxfId="33">
      <pivotArea field="0" type="button" dataOnly="0" labelOnly="1" outline="0" axis="axisRow" fieldPosition="0"/>
    </format>
    <format dxfId="32">
      <pivotArea dataOnly="0" labelOnly="1" fieldPosition="0">
        <references count="1">
          <reference field="0" count="0"/>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138F09-64D8-4392-B7AC-EE3A2ECC7A88}" name="PivotTable8"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6">
  <location ref="A91:B98"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s>
  <rowFields count="1">
    <field x="2"/>
  </rowFields>
  <rowItems count="7">
    <i>
      <x/>
    </i>
    <i>
      <x v="1"/>
    </i>
    <i>
      <x v="2"/>
    </i>
    <i>
      <x v="3"/>
    </i>
    <i>
      <x v="4"/>
    </i>
    <i>
      <x v="5"/>
    </i>
    <i>
      <x v="6"/>
    </i>
  </rowItems>
  <colItems count="1">
    <i/>
  </colItems>
  <dataFields count="1">
    <dataField fld="0" subtotal="count" baseField="0" baseItem="0"/>
  </dataFields>
  <formats count="20">
    <format dxfId="178">
      <pivotArea type="all" dataOnly="0" outline="0" fieldPosition="0"/>
    </format>
    <format dxfId="177">
      <pivotArea outline="0" collapsedLevelsAreSubtotals="1" fieldPosition="0"/>
    </format>
    <format dxfId="176">
      <pivotArea field="2" type="button" dataOnly="0" labelOnly="1" outline="0" axis="axisRow" fieldPosition="0"/>
    </format>
    <format dxfId="175">
      <pivotArea dataOnly="0" labelOnly="1" fieldPosition="0">
        <references count="1">
          <reference field="2" count="0"/>
        </references>
      </pivotArea>
    </format>
    <format dxfId="174">
      <pivotArea dataOnly="0" labelOnly="1" outline="0" axis="axisValues" fieldPosition="0"/>
    </format>
    <format dxfId="129">
      <pivotArea type="all" dataOnly="0" outline="0" fieldPosition="0"/>
    </format>
    <format dxfId="128">
      <pivotArea outline="0" collapsedLevelsAreSubtotals="1" fieldPosition="0"/>
    </format>
    <format dxfId="127">
      <pivotArea field="2" type="button" dataOnly="0" labelOnly="1" outline="0" axis="axisRow" fieldPosition="0"/>
    </format>
    <format dxfId="126">
      <pivotArea dataOnly="0" labelOnly="1" fieldPosition="0">
        <references count="1">
          <reference field="2" count="0"/>
        </references>
      </pivotArea>
    </format>
    <format dxfId="125">
      <pivotArea dataOnly="0" labelOnly="1" outline="0" axis="axisValues"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outline="0" axis="axisValues" fieldPosition="0"/>
    </format>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outline="0" axis="axisValues" fieldPosition="0"/>
    </format>
  </formats>
  <chartFormats count="8">
    <chartFormat chart="71" format="2" series="1">
      <pivotArea type="data" outline="0" fieldPosition="0">
        <references count="1">
          <reference field="4294967294" count="1" selected="0">
            <x v="0"/>
          </reference>
        </references>
      </pivotArea>
    </chartFormat>
    <chartFormat chart="71" format="3">
      <pivotArea type="data" outline="0" fieldPosition="0">
        <references count="2">
          <reference field="4294967294" count="1" selected="0">
            <x v="0"/>
          </reference>
          <reference field="2" count="1" selected="0">
            <x v="0"/>
          </reference>
        </references>
      </pivotArea>
    </chartFormat>
    <chartFormat chart="71" format="4">
      <pivotArea type="data" outline="0" fieldPosition="0">
        <references count="2">
          <reference field="4294967294" count="1" selected="0">
            <x v="0"/>
          </reference>
          <reference field="2" count="1" selected="0">
            <x v="1"/>
          </reference>
        </references>
      </pivotArea>
    </chartFormat>
    <chartFormat chart="71" format="5">
      <pivotArea type="data" outline="0" fieldPosition="0">
        <references count="2">
          <reference field="4294967294" count="1" selected="0">
            <x v="0"/>
          </reference>
          <reference field="2" count="1" selected="0">
            <x v="2"/>
          </reference>
        </references>
      </pivotArea>
    </chartFormat>
    <chartFormat chart="71" format="6">
      <pivotArea type="data" outline="0" fieldPosition="0">
        <references count="2">
          <reference field="4294967294" count="1" selected="0">
            <x v="0"/>
          </reference>
          <reference field="2" count="1" selected="0">
            <x v="3"/>
          </reference>
        </references>
      </pivotArea>
    </chartFormat>
    <chartFormat chart="71" format="7">
      <pivotArea type="data" outline="0" fieldPosition="0">
        <references count="2">
          <reference field="4294967294" count="1" selected="0">
            <x v="0"/>
          </reference>
          <reference field="2" count="1" selected="0">
            <x v="4"/>
          </reference>
        </references>
      </pivotArea>
    </chartFormat>
    <chartFormat chart="71" format="8">
      <pivotArea type="data" outline="0" fieldPosition="0">
        <references count="2">
          <reference field="4294967294" count="1" selected="0">
            <x v="0"/>
          </reference>
          <reference field="2" count="1" selected="0">
            <x v="5"/>
          </reference>
        </references>
      </pivotArea>
    </chartFormat>
    <chartFormat chart="71" format="9">
      <pivotArea type="data" outline="0" fieldPosition="0">
        <references count="2">
          <reference field="4294967294" count="1" selected="0">
            <x v="0"/>
          </reference>
          <reference field="2" count="1" selected="0">
            <x v="6"/>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E67422-1C09-4520-813C-8FC6BAFFF4F1}" name="PivotTable9"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9">
  <location ref="A102:B107" firstHeaderRow="1" firstDataRow="1" firstDataCol="1"/>
  <pivotFields count="4">
    <pivotField dataField="1" subtotalTop="0" showAll="0" defaultSubtotal="0"/>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Items count="1">
    <i/>
  </colItems>
  <dataFields count="1">
    <dataField fld="0" subtotal="count" baseField="0" baseItem="0"/>
  </dataFields>
  <formats count="20">
    <format dxfId="173">
      <pivotArea type="all" dataOnly="0" outline="0" fieldPosition="0"/>
    </format>
    <format dxfId="172">
      <pivotArea outline="0" collapsedLevelsAreSubtotals="1" fieldPosition="0"/>
    </format>
    <format dxfId="171">
      <pivotArea field="3" type="button" dataOnly="0" labelOnly="1" outline="0" axis="axisRow" fieldPosition="0"/>
    </format>
    <format dxfId="170">
      <pivotArea dataOnly="0" labelOnly="1" fieldPosition="0">
        <references count="1">
          <reference field="3" count="0"/>
        </references>
      </pivotArea>
    </format>
    <format dxfId="169">
      <pivotArea dataOnly="0" labelOnly="1" outline="0" axis="axisValues" fieldPosition="0"/>
    </format>
    <format dxfId="124">
      <pivotArea type="all" dataOnly="0" outline="0" fieldPosition="0"/>
    </format>
    <format dxfId="123">
      <pivotArea outline="0" collapsedLevelsAreSubtotals="1" fieldPosition="0"/>
    </format>
    <format dxfId="122">
      <pivotArea field="3" type="button" dataOnly="0" labelOnly="1" outline="0" axis="axisRow" fieldPosition="0"/>
    </format>
    <format dxfId="121">
      <pivotArea dataOnly="0" labelOnly="1" fieldPosition="0">
        <references count="1">
          <reference field="3" count="0"/>
        </references>
      </pivotArea>
    </format>
    <format dxfId="120">
      <pivotArea dataOnly="0" labelOnly="1" outline="0" axis="axisValues" fieldPosition="0"/>
    </format>
    <format dxfId="75">
      <pivotArea type="all" dataOnly="0" outline="0" fieldPosition="0"/>
    </format>
    <format dxfId="74">
      <pivotArea outline="0" collapsedLevelsAreSubtotals="1" fieldPosition="0"/>
    </format>
    <format dxfId="73">
      <pivotArea field="3" type="button" dataOnly="0" labelOnly="1" outline="0" axis="axisRow" fieldPosition="0"/>
    </format>
    <format dxfId="72">
      <pivotArea dataOnly="0" labelOnly="1" fieldPosition="0">
        <references count="1">
          <reference field="3" count="0"/>
        </references>
      </pivotArea>
    </format>
    <format dxfId="71">
      <pivotArea dataOnly="0" labelOnly="1" outline="0" axis="axisValues" fieldPosition="0"/>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outline="0" axis="axisValues" fieldPosition="0"/>
    </format>
  </formats>
  <chartFormats count="7">
    <chartFormat chart="71" format="2"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 chart="88" format="3">
      <pivotArea type="data" outline="0" fieldPosition="0">
        <references count="2">
          <reference field="4294967294" count="1" selected="0">
            <x v="0"/>
          </reference>
          <reference field="3" count="1" selected="0">
            <x v="0"/>
          </reference>
        </references>
      </pivotArea>
    </chartFormat>
    <chartFormat chart="88" format="4">
      <pivotArea type="data" outline="0" fieldPosition="0">
        <references count="2">
          <reference field="4294967294" count="1" selected="0">
            <x v="0"/>
          </reference>
          <reference field="3" count="1" selected="0">
            <x v="1"/>
          </reference>
        </references>
      </pivotArea>
    </chartFormat>
    <chartFormat chart="88" format="5">
      <pivotArea type="data" outline="0" fieldPosition="0">
        <references count="2">
          <reference field="4294967294" count="1" selected="0">
            <x v="0"/>
          </reference>
          <reference field="3" count="1" selected="0">
            <x v="2"/>
          </reference>
        </references>
      </pivotArea>
    </chartFormat>
    <chartFormat chart="88" format="6">
      <pivotArea type="data" outline="0" fieldPosition="0">
        <references count="2">
          <reference field="4294967294" count="1" selected="0">
            <x v="0"/>
          </reference>
          <reference field="3" count="1" selected="0">
            <x v="3"/>
          </reference>
        </references>
      </pivotArea>
    </chartFormat>
    <chartFormat chart="88" format="7">
      <pivotArea type="data" outline="0" fieldPosition="0">
        <references count="2">
          <reference field="4294967294" count="1" selected="0">
            <x v="0"/>
          </reference>
          <reference field="3" count="1" selected="0">
            <x v="4"/>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4FC65C-E3A7-4565-9EEE-4B2C070D45A0}" name="PivotTable10" cacheId="0" applyNumberFormats="0" applyBorderFormats="0" applyFontFormats="0" applyPatternFormats="0" applyAlignmentFormats="0" applyWidthHeightFormats="1" dataCaption="Values" updatedVersion="8" minRefreshableVersion="3" showDrill="0" useAutoFormatting="1" subtotalHiddenItems="1" rowGrandTotals="0" itemPrintTitles="1" createdVersion="8" indent="0" showHeaders="0" outline="1" outlineData="1" multipleFieldFilters="0" chartFormat="89" rowHeaderCaption="City" colHeaderCaption="Representatives">
  <location ref="A112:G131" firstHeaderRow="1" firstDataRow="2" firstDataCol="1"/>
  <pivotFields count="5">
    <pivotField axis="axisCol" allDrilled="1" subtotalTop="0" showAll="0"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4"/>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formats count="45">
    <format dxfId="201">
      <pivotArea collapsedLevelsAreSubtotals="1" fieldPosition="0">
        <references count="2">
          <reference field="2" count="4">
            <x v="0"/>
            <x v="1"/>
            <x v="2"/>
            <x v="3"/>
          </reference>
          <reference field="4" count="1" selected="0">
            <x v="0"/>
          </reference>
        </references>
      </pivotArea>
    </format>
    <format dxfId="200">
      <pivotArea collapsedLevelsAreSubtotals="1" fieldPosition="0">
        <references count="1">
          <reference field="4" count="1">
            <x v="1"/>
          </reference>
        </references>
      </pivotArea>
    </format>
    <format dxfId="199">
      <pivotArea collapsedLevelsAreSubtotals="1" fieldPosition="0">
        <references count="2">
          <reference field="2" count="6">
            <x v="4"/>
            <x v="5"/>
            <x v="6"/>
            <x v="7"/>
            <x v="8"/>
            <x v="9"/>
          </reference>
          <reference field="4" count="1" selected="0">
            <x v="1"/>
          </reference>
        </references>
      </pivotArea>
    </format>
    <format dxfId="198">
      <pivotArea collapsedLevelsAreSubtotals="1" fieldPosition="0">
        <references count="1">
          <reference field="4" count="1">
            <x v="2"/>
          </reference>
        </references>
      </pivotArea>
    </format>
    <format dxfId="197">
      <pivotArea collapsedLevelsAreSubtotals="1" fieldPosition="0">
        <references count="2">
          <reference field="2" count="5">
            <x v="10"/>
            <x v="11"/>
            <x v="12"/>
            <x v="13"/>
            <x v="14"/>
          </reference>
          <reference field="4" count="1" selected="0">
            <x v="2"/>
          </reference>
        </references>
      </pivotArea>
    </format>
    <format dxfId="168">
      <pivotArea type="all" dataOnly="0" outline="0" fieldPosition="0"/>
    </format>
    <format dxfId="167">
      <pivotArea outline="0" collapsedLevelsAreSubtotals="1" fieldPosition="0"/>
    </format>
    <format dxfId="166">
      <pivotArea type="origin" dataOnly="0" labelOnly="1" outline="0" fieldPosition="0"/>
    </format>
    <format dxfId="165">
      <pivotArea type="topRight" dataOnly="0" labelOnly="1" outline="0" fieldPosition="0"/>
    </format>
    <format dxfId="164">
      <pivotArea dataOnly="0" labelOnly="1" fieldPosition="0">
        <references count="1">
          <reference field="4" count="0"/>
        </references>
      </pivotArea>
    </format>
    <format dxfId="163">
      <pivotArea dataOnly="0" labelOnly="1" fieldPosition="0">
        <references count="2">
          <reference field="2" count="4">
            <x v="0"/>
            <x v="1"/>
            <x v="2"/>
            <x v="3"/>
          </reference>
          <reference field="4" count="1" selected="0">
            <x v="0"/>
          </reference>
        </references>
      </pivotArea>
    </format>
    <format dxfId="162">
      <pivotArea dataOnly="0" labelOnly="1" fieldPosition="0">
        <references count="2">
          <reference field="2" count="6">
            <x v="4"/>
            <x v="5"/>
            <x v="6"/>
            <x v="7"/>
            <x v="8"/>
            <x v="9"/>
          </reference>
          <reference field="4" count="1" selected="0">
            <x v="1"/>
          </reference>
        </references>
      </pivotArea>
    </format>
    <format dxfId="161">
      <pivotArea dataOnly="0" labelOnly="1" fieldPosition="0">
        <references count="2">
          <reference field="2" count="5">
            <x v="10"/>
            <x v="11"/>
            <x v="12"/>
            <x v="13"/>
            <x v="14"/>
          </reference>
          <reference field="4" count="1" selected="0">
            <x v="2"/>
          </reference>
        </references>
      </pivotArea>
    </format>
    <format dxfId="160">
      <pivotArea dataOnly="0" labelOnly="1" fieldPosition="0">
        <references count="1">
          <reference field="0" count="0"/>
        </references>
      </pivotArea>
    </format>
    <format dxfId="159">
      <pivotArea dataOnly="0" labelOnly="1" grandCol="1" outline="0" fieldPosition="0"/>
    </format>
    <format dxfId="119">
      <pivotArea type="all" dataOnly="0" outline="0" fieldPosition="0"/>
    </format>
    <format dxfId="118">
      <pivotArea outline="0" collapsedLevelsAreSubtotals="1" fieldPosition="0"/>
    </format>
    <format dxfId="117">
      <pivotArea type="origin" dataOnly="0" labelOnly="1" outline="0" fieldPosition="0"/>
    </format>
    <format dxfId="116">
      <pivotArea type="topRight" dataOnly="0" labelOnly="1" outline="0" fieldPosition="0"/>
    </format>
    <format dxfId="115">
      <pivotArea dataOnly="0" labelOnly="1" fieldPosition="0">
        <references count="1">
          <reference field="4" count="0"/>
        </references>
      </pivotArea>
    </format>
    <format dxfId="114">
      <pivotArea dataOnly="0" labelOnly="1" fieldPosition="0">
        <references count="2">
          <reference field="2" count="4">
            <x v="0"/>
            <x v="1"/>
            <x v="2"/>
            <x v="3"/>
          </reference>
          <reference field="4" count="1" selected="0">
            <x v="0"/>
          </reference>
        </references>
      </pivotArea>
    </format>
    <format dxfId="113">
      <pivotArea dataOnly="0" labelOnly="1" fieldPosition="0">
        <references count="2">
          <reference field="2" count="6">
            <x v="4"/>
            <x v="5"/>
            <x v="6"/>
            <x v="7"/>
            <x v="8"/>
            <x v="9"/>
          </reference>
          <reference field="4" count="1" selected="0">
            <x v="1"/>
          </reference>
        </references>
      </pivotArea>
    </format>
    <format dxfId="112">
      <pivotArea dataOnly="0" labelOnly="1" fieldPosition="0">
        <references count="2">
          <reference field="2" count="5">
            <x v="10"/>
            <x v="11"/>
            <x v="12"/>
            <x v="13"/>
            <x v="14"/>
          </reference>
          <reference field="4" count="1" selected="0">
            <x v="2"/>
          </reference>
        </references>
      </pivotArea>
    </format>
    <format dxfId="111">
      <pivotArea dataOnly="0" labelOnly="1" fieldPosition="0">
        <references count="1">
          <reference field="0" count="0"/>
        </references>
      </pivotArea>
    </format>
    <format dxfId="110">
      <pivotArea dataOnly="0" labelOnly="1" grandCol="1" outline="0" fieldPosition="0"/>
    </format>
    <format dxfId="70">
      <pivotArea type="all" dataOnly="0" outline="0" fieldPosition="0"/>
    </format>
    <format dxfId="69">
      <pivotArea outline="0" collapsedLevelsAreSubtotals="1" fieldPosition="0"/>
    </format>
    <format dxfId="68">
      <pivotArea type="origin" dataOnly="0" labelOnly="1" outline="0" fieldPosition="0"/>
    </format>
    <format dxfId="67">
      <pivotArea type="topRight" dataOnly="0" labelOnly="1" outline="0" fieldPosition="0"/>
    </format>
    <format dxfId="66">
      <pivotArea dataOnly="0" labelOnly="1" fieldPosition="0">
        <references count="1">
          <reference field="4" count="0"/>
        </references>
      </pivotArea>
    </format>
    <format dxfId="65">
      <pivotArea dataOnly="0" labelOnly="1" fieldPosition="0">
        <references count="2">
          <reference field="2" count="4">
            <x v="0"/>
            <x v="1"/>
            <x v="2"/>
            <x v="3"/>
          </reference>
          <reference field="4" count="1" selected="0">
            <x v="0"/>
          </reference>
        </references>
      </pivotArea>
    </format>
    <format dxfId="64">
      <pivotArea dataOnly="0" labelOnly="1" fieldPosition="0">
        <references count="2">
          <reference field="2" count="6">
            <x v="4"/>
            <x v="5"/>
            <x v="6"/>
            <x v="7"/>
            <x v="8"/>
            <x v="9"/>
          </reference>
          <reference field="4" count="1" selected="0">
            <x v="1"/>
          </reference>
        </references>
      </pivotArea>
    </format>
    <format dxfId="63">
      <pivotArea dataOnly="0" labelOnly="1" fieldPosition="0">
        <references count="2">
          <reference field="2" count="5">
            <x v="10"/>
            <x v="11"/>
            <x v="12"/>
            <x v="13"/>
            <x v="14"/>
          </reference>
          <reference field="4" count="1" selected="0">
            <x v="2"/>
          </reference>
        </references>
      </pivotArea>
    </format>
    <format dxfId="62">
      <pivotArea dataOnly="0" labelOnly="1" fieldPosition="0">
        <references count="1">
          <reference field="0" count="0"/>
        </references>
      </pivotArea>
    </format>
    <format dxfId="61">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type="topRight" dataOnly="0" labelOnly="1" outline="0" fieldPosition="0"/>
    </format>
    <format dxfId="17">
      <pivotArea dataOnly="0" labelOnly="1" fieldPosition="0">
        <references count="1">
          <reference field="4" count="0"/>
        </references>
      </pivotArea>
    </format>
    <format dxfId="16">
      <pivotArea dataOnly="0" labelOnly="1" fieldPosition="0">
        <references count="2">
          <reference field="2" count="4">
            <x v="0"/>
            <x v="1"/>
            <x v="2"/>
            <x v="3"/>
          </reference>
          <reference field="4" count="1" selected="0">
            <x v="0"/>
          </reference>
        </references>
      </pivotArea>
    </format>
    <format dxfId="15">
      <pivotArea dataOnly="0" labelOnly="1" fieldPosition="0">
        <references count="2">
          <reference field="2" count="6">
            <x v="4"/>
            <x v="5"/>
            <x v="6"/>
            <x v="7"/>
            <x v="8"/>
            <x v="9"/>
          </reference>
          <reference field="4" count="1" selected="0">
            <x v="1"/>
          </reference>
        </references>
      </pivotArea>
    </format>
    <format dxfId="14">
      <pivotArea dataOnly="0" labelOnly="1" fieldPosition="0">
        <references count="2">
          <reference field="2" count="5">
            <x v="10"/>
            <x v="11"/>
            <x v="12"/>
            <x v="13"/>
            <x v="14"/>
          </reference>
          <reference field="4" count="1" selected="0">
            <x v="2"/>
          </reference>
        </references>
      </pivotArea>
    </format>
    <format dxfId="13">
      <pivotArea dataOnly="0" labelOnly="1" fieldPosition="0">
        <references count="1">
          <reference field="0" count="0"/>
        </references>
      </pivotArea>
    </format>
    <format dxfId="12">
      <pivotArea dataOnly="0" labelOnly="1" grandCol="1" outline="0" fieldPosition="0"/>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755E20-4A09-4D01-91C9-AD15550EE356}"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B43:D4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Fields count="1">
    <field x="-2"/>
  </colFields>
  <colItems count="2">
    <i>
      <x/>
    </i>
    <i i="1">
      <x v="1"/>
    </i>
  </colItems>
  <dataFields count="2">
    <dataField name="Count of Call number" fld="0" subtotal="count" baseField="0" baseItem="0"/>
    <dataField name="Sum of Purchase Amount" fld="1" baseField="0" baseItem="0"/>
  </dataFields>
  <formats count="24">
    <format dxfId="158">
      <pivotArea type="all" dataOnly="0" outline="0" fieldPosition="0"/>
    </format>
    <format dxfId="157">
      <pivotArea outline="0" collapsedLevelsAreSubtotals="1" fieldPosition="0"/>
    </format>
    <format dxfId="156">
      <pivotArea field="2" type="button" dataOnly="0" labelOnly="1" outline="0" axis="axisRow" fieldPosition="0"/>
    </format>
    <format dxfId="155">
      <pivotArea dataOnly="0" labelOnly="1" fieldPosition="0">
        <references count="1">
          <reference field="2" count="0"/>
        </references>
      </pivotArea>
    </format>
    <format dxfId="154">
      <pivotArea dataOnly="0" labelOnly="1" grandRow="1" outline="0" fieldPosition="0"/>
    </format>
    <format dxfId="153">
      <pivotArea dataOnly="0" labelOnly="1" outline="0" fieldPosition="0">
        <references count="1">
          <reference field="4294967294" count="2">
            <x v="0"/>
            <x v="1"/>
          </reference>
        </references>
      </pivotArea>
    </format>
    <format dxfId="109">
      <pivotArea type="all" dataOnly="0" outline="0" fieldPosition="0"/>
    </format>
    <format dxfId="108">
      <pivotArea outline="0" collapsedLevelsAreSubtotals="1" fieldPosition="0"/>
    </format>
    <format dxfId="107">
      <pivotArea field="2" type="button" dataOnly="0" labelOnly="1" outline="0" axis="axisRow" fieldPosition="0"/>
    </format>
    <format dxfId="106">
      <pivotArea dataOnly="0" labelOnly="1" fieldPosition="0">
        <references count="1">
          <reference field="2"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2F8E0D-6D21-47F1-AD26-6231BE8FAB38}" name="PivotTable3" cacheId="3" applyNumberFormats="0" applyBorderFormats="0" applyFontFormats="0" applyPatternFormats="0" applyAlignmentFormats="0" applyWidthHeightFormats="1" dataCaption="Values" tag="28fd00f9-100c-4e8d-b247-2673847f68c0" updatedVersion="8" minRefreshableVersion="3" useAutoFormatting="1" subtotalHiddenItems="1" itemPrintTitles="1" createdVersion="8" indent="0" outline="1" outlineData="1" multipleFieldFilters="0" chartFormat="33">
  <location ref="B23:D36" firstHeaderRow="0" firstDataRow="1" firstDataCol="1"/>
  <pivotFields count="5">
    <pivotField dataField="1" subtotalTop="0" showAll="0" defaultSubtotal="0"/>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s Count2" fld="4" subtotal="count" baseField="0" baseItem="0">
      <extLst>
        <ext xmlns:x14="http://schemas.microsoft.com/office/spreadsheetml/2009/9/main" uri="{E15A36E0-9728-4e99-A89B-3F7291B0FE68}">
          <x14:dataField sourceField="0" uniqueName="[__Xl2].[Measures].[Calls Count]"/>
        </ext>
      </extLst>
    </dataField>
  </dataFields>
  <formats count="24">
    <format dxfId="152">
      <pivotArea type="all" dataOnly="0" outline="0" fieldPosition="0"/>
    </format>
    <format dxfId="151">
      <pivotArea outline="0" collapsedLevelsAreSubtotals="1" fieldPosition="0"/>
    </format>
    <format dxfId="150">
      <pivotArea field="2" type="button" dataOnly="0" labelOnly="1" outline="0" axis="axisRow" fieldPosition="0"/>
    </format>
    <format dxfId="149">
      <pivotArea dataOnly="0" labelOnly="1" fieldPosition="0">
        <references count="1">
          <reference field="2" count="0"/>
        </references>
      </pivotArea>
    </format>
    <format dxfId="148">
      <pivotArea dataOnly="0" labelOnly="1" grandRow="1" outline="0" fieldPosition="0"/>
    </format>
    <format dxfId="147">
      <pivotArea dataOnly="0" labelOnly="1" outline="0" fieldPosition="0">
        <references count="1">
          <reference field="4294967294" count="2">
            <x v="0"/>
            <x v="1"/>
          </reference>
        </references>
      </pivotArea>
    </format>
    <format dxfId="103">
      <pivotArea type="all" dataOnly="0" outline="0" fieldPosition="0"/>
    </format>
    <format dxfId="102">
      <pivotArea outline="0" collapsedLevelsAreSubtotals="1" fieldPosition="0"/>
    </format>
    <format dxfId="101">
      <pivotArea field="2" type="button" dataOnly="0" labelOnly="1" outline="0" axis="axisRow" fieldPosition="0"/>
    </format>
    <format dxfId="100">
      <pivotArea dataOnly="0" labelOnly="1" fieldPosition="0">
        <references count="1">
          <reference field="2" count="0"/>
        </references>
      </pivotArea>
    </format>
    <format dxfId="99">
      <pivotArea dataOnly="0" labelOnly="1" grandRow="1" outline="0" fieldPosition="0"/>
    </format>
    <format dxfId="98">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FE24259-8489-4C9D-87B4-E9F99266BE7C}" sourceName="[calls].[Representative]">
  <pivotTables>
    <pivotTable tabId="7" name="PivotTable2"/>
    <pivotTable tabId="7" name="PivotTable3"/>
    <pivotTable tabId="7" name="PivotTable5"/>
    <pivotTable tabId="7" name="PivotTable6"/>
    <pivotTable tabId="7" name="PivotTable7"/>
    <pivotTable tabId="7" name="PivotTable8"/>
    <pivotTable tabId="7" name="PivotTable9"/>
  </pivotTables>
  <data>
    <olap pivotCacheId="166658826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D9FD89E9-F497-4C5E-8192-A736BE2B3B51}" cache="Slicer_Representative" caption="Representative" level="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16"/>
    <tableColumn id="5" xr3:uid="{5A35565E-8707-4DED-AD15-A0669D67B382}" name="Date of Call" dataDxfId="215"/>
    <tableColumn id="6" xr3:uid="{F2E4F158-B41F-47BC-8DF8-DFCADFEE4E40}" name="Purchase Amount" dataDxfId="214"/>
    <tableColumn id="7" xr3:uid="{04B291B5-47BD-4F78-8FD8-D1551CCA6BD9}" name="Satisfaction Rating"/>
    <tableColumn id="8" xr3:uid="{6E4123C0-0B17-43B8-A142-A1E540CE974C}" name="FY" dataDxfId="213">
      <calculatedColumnFormula>IF(MONTH(calls[[#This Row],[Date of Call]])&lt;=6, YEAR(calls[[#This Row],[Date of Call]]), YEAR(calls[[#This Row],[Date of Call]])+1)</calculatedColumnFormula>
    </tableColumn>
    <tableColumn id="9" xr3:uid="{199FA271-5E9B-46CE-9BC6-2801F92CD17E}" name="Day of week" dataDxfId="212">
      <calculatedColumnFormula>TEXT(calls[[#This Row],[Date of Call]],"DDDD")</calculatedColumnFormula>
    </tableColumn>
    <tableColumn id="10" xr3:uid="{328CDB09-95B8-4D5E-9ED9-EF0D363735A1}" name="Duration Bucket" dataDxfId="2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09" headerRowBorderDxfId="208" tableBorderDxfId="207" totalsRowBorderDxfId="206">
  <autoFilter ref="Q3:T18" xr:uid="{27158F51-A707-4171-8A04-81FB0AABCBA5}"/>
  <tableColumns count="4">
    <tableColumn id="1" xr3:uid="{02688061-6A8C-4E23-B7FF-D00CD8B58CAC}" name="Customer ID" dataDxfId="205"/>
    <tableColumn id="2" xr3:uid="{771678B6-DB44-426B-9874-B4E421A440D5}" name="Gedner" dataDxfId="204"/>
    <tableColumn id="3" xr3:uid="{B0D41C62-587E-494D-B49A-603F2C05F8D3}" name="Age" dataDxfId="203"/>
    <tableColumn id="4" xr3:uid="{663F92D6-FE31-4D81-9E01-8D066DDC8A88}" name="City" dataDxfId="20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B1" sqref="B1"/>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style="22"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68</v>
      </c>
      <c r="G1" s="21"/>
    </row>
    <row r="2" spans="2:20" x14ac:dyDescent="0.25">
      <c r="R2" s="1"/>
    </row>
    <row r="3" spans="2:20" x14ac:dyDescent="0.25">
      <c r="B3" s="14" t="s">
        <v>69</v>
      </c>
      <c r="C3" s="14" t="s">
        <v>70</v>
      </c>
      <c r="D3" s="15" t="s">
        <v>71</v>
      </c>
      <c r="E3" s="16" t="s">
        <v>72</v>
      </c>
      <c r="F3" s="16" t="s">
        <v>73</v>
      </c>
      <c r="G3" s="20" t="s">
        <v>27</v>
      </c>
      <c r="H3" s="14" t="s">
        <v>74</v>
      </c>
      <c r="I3" t="s">
        <v>75</v>
      </c>
      <c r="J3" t="s">
        <v>76</v>
      </c>
      <c r="K3" t="s">
        <v>77</v>
      </c>
      <c r="L3" t="s">
        <v>78</v>
      </c>
      <c r="Q3" s="8" t="s">
        <v>70</v>
      </c>
      <c r="R3" s="9" t="s">
        <v>79</v>
      </c>
      <c r="S3" s="9" t="s">
        <v>80</v>
      </c>
      <c r="T3" s="10" t="s">
        <v>81</v>
      </c>
    </row>
    <row r="4" spans="2:20" x14ac:dyDescent="0.25">
      <c r="B4" t="s">
        <v>82</v>
      </c>
      <c r="C4" t="s">
        <v>53</v>
      </c>
      <c r="D4">
        <v>116</v>
      </c>
      <c r="E4" s="17" t="s">
        <v>33</v>
      </c>
      <c r="F4" s="18">
        <v>44927</v>
      </c>
      <c r="G4" s="22">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63</v>
      </c>
      <c r="R4" s="3" t="s">
        <v>42</v>
      </c>
      <c r="S4" s="2">
        <v>41</v>
      </c>
      <c r="T4" s="7" t="s">
        <v>45</v>
      </c>
    </row>
    <row r="5" spans="2:20" x14ac:dyDescent="0.25">
      <c r="B5" t="s">
        <v>83</v>
      </c>
      <c r="C5" t="s">
        <v>54</v>
      </c>
      <c r="D5">
        <v>119</v>
      </c>
      <c r="E5" s="17" t="s">
        <v>33</v>
      </c>
      <c r="F5" s="18">
        <v>44927</v>
      </c>
      <c r="G5" s="22">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57</v>
      </c>
      <c r="R5" s="3" t="s">
        <v>42</v>
      </c>
      <c r="S5" s="2">
        <v>31</v>
      </c>
      <c r="T5" s="7" t="s">
        <v>44</v>
      </c>
    </row>
    <row r="6" spans="2:20" x14ac:dyDescent="0.25">
      <c r="B6" t="s">
        <v>84</v>
      </c>
      <c r="C6" t="s">
        <v>64</v>
      </c>
      <c r="D6">
        <v>68</v>
      </c>
      <c r="E6" s="17" t="s">
        <v>30</v>
      </c>
      <c r="F6" s="18">
        <v>44927</v>
      </c>
      <c r="G6" s="22">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53</v>
      </c>
      <c r="R6" s="3" t="s">
        <v>42</v>
      </c>
      <c r="S6" s="2">
        <v>26</v>
      </c>
      <c r="T6" s="7" t="s">
        <v>43</v>
      </c>
    </row>
    <row r="7" spans="2:20" x14ac:dyDescent="0.25">
      <c r="B7" t="s">
        <v>85</v>
      </c>
      <c r="C7" t="s">
        <v>67</v>
      </c>
      <c r="D7">
        <v>119</v>
      </c>
      <c r="E7" s="17" t="s">
        <v>30</v>
      </c>
      <c r="F7" s="18">
        <v>44927</v>
      </c>
      <c r="G7" s="22">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54</v>
      </c>
      <c r="R7" s="3" t="s">
        <v>42</v>
      </c>
      <c r="S7" s="2">
        <v>36</v>
      </c>
      <c r="T7" s="7" t="s">
        <v>43</v>
      </c>
    </row>
    <row r="8" spans="2:20" x14ac:dyDescent="0.25">
      <c r="B8" t="s">
        <v>86</v>
      </c>
      <c r="C8" t="s">
        <v>55</v>
      </c>
      <c r="D8">
        <v>128</v>
      </c>
      <c r="E8" s="17" t="s">
        <v>22</v>
      </c>
      <c r="F8" s="18">
        <v>44928</v>
      </c>
      <c r="G8" s="22">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64</v>
      </c>
      <c r="R8" s="3" t="s">
        <v>42</v>
      </c>
      <c r="S8" s="2">
        <v>37</v>
      </c>
      <c r="T8" s="7" t="s">
        <v>45</v>
      </c>
    </row>
    <row r="9" spans="2:20" x14ac:dyDescent="0.25">
      <c r="B9" t="s">
        <v>87</v>
      </c>
      <c r="C9" t="s">
        <v>55</v>
      </c>
      <c r="D9">
        <v>49</v>
      </c>
      <c r="E9" s="17" t="s">
        <v>30</v>
      </c>
      <c r="F9" s="18">
        <v>44929</v>
      </c>
      <c r="G9" s="22">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65</v>
      </c>
      <c r="R9" s="3" t="s">
        <v>42</v>
      </c>
      <c r="S9" s="2">
        <v>23</v>
      </c>
      <c r="T9" s="7" t="s">
        <v>45</v>
      </c>
    </row>
    <row r="10" spans="2:20" x14ac:dyDescent="0.25">
      <c r="B10" t="s">
        <v>88</v>
      </c>
      <c r="C10" t="s">
        <v>58</v>
      </c>
      <c r="D10">
        <v>84</v>
      </c>
      <c r="E10" s="17" t="s">
        <v>33</v>
      </c>
      <c r="F10" s="18">
        <v>44929</v>
      </c>
      <c r="G10" s="22">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58</v>
      </c>
      <c r="R10" s="3" t="s">
        <v>41</v>
      </c>
      <c r="S10" s="2">
        <v>22</v>
      </c>
      <c r="T10" s="7" t="s">
        <v>44</v>
      </c>
    </row>
    <row r="11" spans="2:20" x14ac:dyDescent="0.25">
      <c r="B11" t="s">
        <v>89</v>
      </c>
      <c r="C11" t="s">
        <v>53</v>
      </c>
      <c r="D11">
        <v>103</v>
      </c>
      <c r="E11" s="17" t="s">
        <v>32</v>
      </c>
      <c r="F11" s="18">
        <v>44929</v>
      </c>
      <c r="G11" s="22">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59</v>
      </c>
      <c r="R11" s="3" t="s">
        <v>41</v>
      </c>
      <c r="S11" s="2">
        <v>42</v>
      </c>
      <c r="T11" s="7" t="s">
        <v>44</v>
      </c>
    </row>
    <row r="12" spans="2:20" x14ac:dyDescent="0.25">
      <c r="B12" t="s">
        <v>90</v>
      </c>
      <c r="C12" t="s">
        <v>64</v>
      </c>
      <c r="D12">
        <v>31</v>
      </c>
      <c r="E12" s="17" t="s">
        <v>30</v>
      </c>
      <c r="F12" s="18">
        <v>44929</v>
      </c>
      <c r="G12" s="2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66</v>
      </c>
      <c r="R12" s="3" t="s">
        <v>41</v>
      </c>
      <c r="S12" s="2">
        <v>25</v>
      </c>
      <c r="T12" s="7" t="s">
        <v>45</v>
      </c>
    </row>
    <row r="13" spans="2:20" x14ac:dyDescent="0.25">
      <c r="B13" t="s">
        <v>91</v>
      </c>
      <c r="C13" t="s">
        <v>60</v>
      </c>
      <c r="D13">
        <v>44</v>
      </c>
      <c r="E13" s="17" t="s">
        <v>31</v>
      </c>
      <c r="F13" s="18">
        <v>44929</v>
      </c>
      <c r="G13" s="22">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60</v>
      </c>
      <c r="R13" s="3" t="s">
        <v>41</v>
      </c>
      <c r="S13" s="2">
        <v>30</v>
      </c>
      <c r="T13" s="7" t="s">
        <v>44</v>
      </c>
    </row>
    <row r="14" spans="2:20" x14ac:dyDescent="0.25">
      <c r="B14" t="s">
        <v>92</v>
      </c>
      <c r="C14" t="s">
        <v>55</v>
      </c>
      <c r="D14">
        <v>102</v>
      </c>
      <c r="E14" s="17" t="s">
        <v>30</v>
      </c>
      <c r="F14" s="18">
        <v>44929</v>
      </c>
      <c r="G14" s="22">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55</v>
      </c>
      <c r="R14" s="3" t="s">
        <v>41</v>
      </c>
      <c r="S14" s="2">
        <v>30</v>
      </c>
      <c r="T14" s="7" t="s">
        <v>43</v>
      </c>
    </row>
    <row r="15" spans="2:20" x14ac:dyDescent="0.25">
      <c r="B15" t="s">
        <v>93</v>
      </c>
      <c r="C15" t="s">
        <v>61</v>
      </c>
      <c r="D15">
        <v>135</v>
      </c>
      <c r="E15" s="17" t="s">
        <v>33</v>
      </c>
      <c r="F15" s="18">
        <v>44929</v>
      </c>
      <c r="G15" s="22">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56</v>
      </c>
      <c r="R15" s="3" t="s">
        <v>41</v>
      </c>
      <c r="S15" s="2">
        <v>28</v>
      </c>
      <c r="T15" s="7" t="s">
        <v>43</v>
      </c>
    </row>
    <row r="16" spans="2:20" x14ac:dyDescent="0.25">
      <c r="B16" t="s">
        <v>94</v>
      </c>
      <c r="C16" t="s">
        <v>57</v>
      </c>
      <c r="D16">
        <v>98</v>
      </c>
      <c r="E16" s="17" t="s">
        <v>30</v>
      </c>
      <c r="F16" s="18">
        <v>44930</v>
      </c>
      <c r="G16" s="22">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61</v>
      </c>
      <c r="R16" s="3" t="s">
        <v>41</v>
      </c>
      <c r="S16" s="2">
        <v>37</v>
      </c>
      <c r="T16" s="7" t="s">
        <v>44</v>
      </c>
    </row>
    <row r="17" spans="2:20" x14ac:dyDescent="0.25">
      <c r="B17" t="s">
        <v>95</v>
      </c>
      <c r="C17" t="s">
        <v>60</v>
      </c>
      <c r="D17">
        <v>139</v>
      </c>
      <c r="E17" s="17" t="s">
        <v>30</v>
      </c>
      <c r="F17" s="18">
        <v>44930</v>
      </c>
      <c r="G17" s="22">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67</v>
      </c>
      <c r="R17" s="3" t="s">
        <v>41</v>
      </c>
      <c r="S17" s="2">
        <v>38</v>
      </c>
      <c r="T17" s="7" t="s">
        <v>45</v>
      </c>
    </row>
    <row r="18" spans="2:20" x14ac:dyDescent="0.25">
      <c r="B18" t="s">
        <v>96</v>
      </c>
      <c r="C18" t="s">
        <v>61</v>
      </c>
      <c r="D18">
        <v>48</v>
      </c>
      <c r="E18" s="17" t="s">
        <v>22</v>
      </c>
      <c r="F18" s="18">
        <v>44930</v>
      </c>
      <c r="G18" s="22">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62</v>
      </c>
      <c r="R18" s="19" t="s">
        <v>41</v>
      </c>
      <c r="S18" s="12">
        <v>43</v>
      </c>
      <c r="T18" s="13" t="s">
        <v>44</v>
      </c>
    </row>
    <row r="19" spans="2:20" x14ac:dyDescent="0.25">
      <c r="B19" t="s">
        <v>97</v>
      </c>
      <c r="C19" t="s">
        <v>60</v>
      </c>
      <c r="D19">
        <v>176</v>
      </c>
      <c r="E19" s="17" t="s">
        <v>33</v>
      </c>
      <c r="F19" s="18">
        <v>44931</v>
      </c>
      <c r="G19" s="22">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98</v>
      </c>
      <c r="C20" t="s">
        <v>60</v>
      </c>
      <c r="D20">
        <v>99</v>
      </c>
      <c r="E20" s="17" t="s">
        <v>22</v>
      </c>
      <c r="F20" s="18">
        <v>44931</v>
      </c>
      <c r="G20" s="22">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99</v>
      </c>
      <c r="C21" t="s">
        <v>66</v>
      </c>
      <c r="D21">
        <v>28</v>
      </c>
      <c r="E21" s="17" t="s">
        <v>31</v>
      </c>
      <c r="F21" s="18">
        <v>44931</v>
      </c>
      <c r="G21" s="22">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100</v>
      </c>
      <c r="C22" t="s">
        <v>58</v>
      </c>
      <c r="D22">
        <v>54</v>
      </c>
      <c r="E22" s="17" t="s">
        <v>30</v>
      </c>
      <c r="F22" s="18">
        <v>44931</v>
      </c>
      <c r="G22" s="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101</v>
      </c>
      <c r="C23" t="s">
        <v>65</v>
      </c>
      <c r="D23">
        <v>48</v>
      </c>
      <c r="E23" s="17" t="s">
        <v>33</v>
      </c>
      <c r="F23" s="18">
        <v>44932</v>
      </c>
      <c r="G23" s="22">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102</v>
      </c>
      <c r="C24" t="s">
        <v>54</v>
      </c>
      <c r="D24">
        <v>128</v>
      </c>
      <c r="E24" s="17" t="s">
        <v>33</v>
      </c>
      <c r="F24" s="18">
        <v>44932</v>
      </c>
      <c r="G24" s="22">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103</v>
      </c>
      <c r="C25" t="s">
        <v>54</v>
      </c>
      <c r="D25">
        <v>38</v>
      </c>
      <c r="E25" s="17" t="s">
        <v>32</v>
      </c>
      <c r="F25" s="18">
        <v>44933</v>
      </c>
      <c r="G25" s="22">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104</v>
      </c>
      <c r="C26" t="s">
        <v>53</v>
      </c>
      <c r="D26">
        <v>67</v>
      </c>
      <c r="E26" s="17" t="s">
        <v>32</v>
      </c>
      <c r="F26" s="18">
        <v>44934</v>
      </c>
      <c r="G26" s="22">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105</v>
      </c>
      <c r="C27" t="s">
        <v>62</v>
      </c>
      <c r="D27">
        <v>58</v>
      </c>
      <c r="E27" s="17" t="s">
        <v>30</v>
      </c>
      <c r="F27" s="18">
        <v>44934</v>
      </c>
      <c r="G27" s="22">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106</v>
      </c>
      <c r="C28" t="s">
        <v>60</v>
      </c>
      <c r="D28">
        <v>54</v>
      </c>
      <c r="E28" s="17" t="s">
        <v>22</v>
      </c>
      <c r="F28" s="18">
        <v>44934</v>
      </c>
      <c r="G28" s="22">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107</v>
      </c>
      <c r="C29" t="s">
        <v>56</v>
      </c>
      <c r="D29">
        <v>28</v>
      </c>
      <c r="E29" s="17" t="s">
        <v>33</v>
      </c>
      <c r="F29" s="18">
        <v>44935</v>
      </c>
      <c r="G29" s="22">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108</v>
      </c>
      <c r="C30" t="s">
        <v>57</v>
      </c>
      <c r="D30">
        <v>73</v>
      </c>
      <c r="E30" s="17" t="s">
        <v>33</v>
      </c>
      <c r="F30" s="18">
        <v>44935</v>
      </c>
      <c r="G30" s="22">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109</v>
      </c>
      <c r="C31" t="s">
        <v>55</v>
      </c>
      <c r="D31">
        <v>81</v>
      </c>
      <c r="E31" s="17" t="s">
        <v>33</v>
      </c>
      <c r="F31" s="18">
        <v>44936</v>
      </c>
      <c r="G31" s="22">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110</v>
      </c>
      <c r="C32" t="s">
        <v>66</v>
      </c>
      <c r="D32">
        <v>31</v>
      </c>
      <c r="E32" s="17" t="s">
        <v>32</v>
      </c>
      <c r="F32" s="18">
        <v>44936</v>
      </c>
      <c r="G32" s="2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111</v>
      </c>
      <c r="C33" t="s">
        <v>62</v>
      </c>
      <c r="D33">
        <v>155</v>
      </c>
      <c r="E33" s="17" t="s">
        <v>22</v>
      </c>
      <c r="F33" s="18">
        <v>44936</v>
      </c>
      <c r="G33" s="22">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112</v>
      </c>
      <c r="C34" t="s">
        <v>66</v>
      </c>
      <c r="D34">
        <v>80</v>
      </c>
      <c r="E34" s="17" t="s">
        <v>33</v>
      </c>
      <c r="F34" s="18">
        <v>44936</v>
      </c>
      <c r="G34" s="22">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113</v>
      </c>
      <c r="C35" t="s">
        <v>55</v>
      </c>
      <c r="D35">
        <v>82</v>
      </c>
      <c r="E35" s="17" t="s">
        <v>33</v>
      </c>
      <c r="F35" s="18">
        <v>44938</v>
      </c>
      <c r="G35" s="22">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114</v>
      </c>
      <c r="C36" t="s">
        <v>55</v>
      </c>
      <c r="D36">
        <v>29</v>
      </c>
      <c r="E36" s="17" t="s">
        <v>22</v>
      </c>
      <c r="F36" s="18">
        <v>44938</v>
      </c>
      <c r="G36" s="22">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115</v>
      </c>
      <c r="C37" t="s">
        <v>65</v>
      </c>
      <c r="D37">
        <v>160</v>
      </c>
      <c r="E37" s="17" t="s">
        <v>30</v>
      </c>
      <c r="F37" s="18">
        <v>44940</v>
      </c>
      <c r="G37" s="22">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116</v>
      </c>
      <c r="C38" t="s">
        <v>63</v>
      </c>
      <c r="D38">
        <v>105</v>
      </c>
      <c r="E38" s="17" t="s">
        <v>33</v>
      </c>
      <c r="F38" s="18">
        <v>44941</v>
      </c>
      <c r="G38" s="22">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117</v>
      </c>
      <c r="C39" t="s">
        <v>66</v>
      </c>
      <c r="D39">
        <v>75</v>
      </c>
      <c r="E39" s="17" t="s">
        <v>31</v>
      </c>
      <c r="F39" s="18">
        <v>44941</v>
      </c>
      <c r="G39" s="22">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118</v>
      </c>
      <c r="C40" t="s">
        <v>62</v>
      </c>
      <c r="D40">
        <v>94</v>
      </c>
      <c r="E40" s="17" t="s">
        <v>31</v>
      </c>
      <c r="F40" s="18">
        <v>44942</v>
      </c>
      <c r="G40" s="22">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119</v>
      </c>
      <c r="C41" t="s">
        <v>54</v>
      </c>
      <c r="D41">
        <v>90</v>
      </c>
      <c r="E41" s="17" t="s">
        <v>30</v>
      </c>
      <c r="F41" s="18">
        <v>44942</v>
      </c>
      <c r="G41" s="22">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120</v>
      </c>
      <c r="C42" t="s">
        <v>62</v>
      </c>
      <c r="D42">
        <v>81</v>
      </c>
      <c r="E42" s="17" t="s">
        <v>32</v>
      </c>
      <c r="F42" s="18">
        <v>44943</v>
      </c>
      <c r="G42" s="2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121</v>
      </c>
      <c r="C43" t="s">
        <v>66</v>
      </c>
      <c r="D43">
        <v>106</v>
      </c>
      <c r="E43" s="17" t="s">
        <v>33</v>
      </c>
      <c r="F43" s="18">
        <v>44943</v>
      </c>
      <c r="G43" s="22">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122</v>
      </c>
      <c r="C44" t="s">
        <v>54</v>
      </c>
      <c r="D44">
        <v>74</v>
      </c>
      <c r="E44" s="17" t="s">
        <v>32</v>
      </c>
      <c r="F44" s="18">
        <v>44943</v>
      </c>
      <c r="G44" s="22">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123</v>
      </c>
      <c r="C45" t="s">
        <v>60</v>
      </c>
      <c r="D45">
        <v>105</v>
      </c>
      <c r="E45" s="17" t="s">
        <v>30</v>
      </c>
      <c r="F45" s="18">
        <v>44944</v>
      </c>
      <c r="G45" s="22">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124</v>
      </c>
      <c r="C46" t="s">
        <v>66</v>
      </c>
      <c r="D46">
        <v>89</v>
      </c>
      <c r="E46" s="17" t="s">
        <v>33</v>
      </c>
      <c r="F46" s="18">
        <v>44944</v>
      </c>
      <c r="G46" s="22">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125</v>
      </c>
      <c r="C47" t="s">
        <v>61</v>
      </c>
      <c r="D47">
        <v>132</v>
      </c>
      <c r="E47" s="17" t="s">
        <v>31</v>
      </c>
      <c r="F47" s="18">
        <v>44944</v>
      </c>
      <c r="G47" s="22">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126</v>
      </c>
      <c r="C48" t="s">
        <v>63</v>
      </c>
      <c r="D48">
        <v>105</v>
      </c>
      <c r="E48" s="17" t="s">
        <v>22</v>
      </c>
      <c r="F48" s="18">
        <v>44944</v>
      </c>
      <c r="G48" s="22">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127</v>
      </c>
      <c r="C49" t="s">
        <v>55</v>
      </c>
      <c r="D49">
        <v>13</v>
      </c>
      <c r="E49" s="17" t="s">
        <v>31</v>
      </c>
      <c r="F49" s="18">
        <v>44945</v>
      </c>
      <c r="G49" s="22">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128</v>
      </c>
      <c r="C50" t="s">
        <v>67</v>
      </c>
      <c r="D50">
        <v>131</v>
      </c>
      <c r="E50" s="17" t="s">
        <v>22</v>
      </c>
      <c r="F50" s="18">
        <v>44945</v>
      </c>
      <c r="G50" s="22">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129</v>
      </c>
      <c r="C51" t="s">
        <v>54</v>
      </c>
      <c r="D51">
        <v>104</v>
      </c>
      <c r="E51" s="17" t="s">
        <v>33</v>
      </c>
      <c r="F51" s="18">
        <v>44945</v>
      </c>
      <c r="G51" s="22">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130</v>
      </c>
      <c r="C52" t="s">
        <v>53</v>
      </c>
      <c r="D52">
        <v>90</v>
      </c>
      <c r="E52" s="17" t="s">
        <v>30</v>
      </c>
      <c r="F52" s="18">
        <v>44946</v>
      </c>
      <c r="G52" s="2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131</v>
      </c>
      <c r="C53" t="s">
        <v>56</v>
      </c>
      <c r="D53">
        <v>37</v>
      </c>
      <c r="E53" s="17" t="s">
        <v>30</v>
      </c>
      <c r="F53" s="18">
        <v>44946</v>
      </c>
      <c r="G53" s="22">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132</v>
      </c>
      <c r="C54" t="s">
        <v>57</v>
      </c>
      <c r="D54">
        <v>149</v>
      </c>
      <c r="E54" s="17" t="s">
        <v>22</v>
      </c>
      <c r="F54" s="18">
        <v>44946</v>
      </c>
      <c r="G54" s="22">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133</v>
      </c>
      <c r="C55" t="s">
        <v>61</v>
      </c>
      <c r="D55">
        <v>100</v>
      </c>
      <c r="E55" s="17" t="s">
        <v>32</v>
      </c>
      <c r="F55" s="18">
        <v>44947</v>
      </c>
      <c r="G55" s="22">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134</v>
      </c>
      <c r="C56" t="s">
        <v>61</v>
      </c>
      <c r="D56">
        <v>79</v>
      </c>
      <c r="E56" s="17" t="s">
        <v>31</v>
      </c>
      <c r="F56" s="18">
        <v>44947</v>
      </c>
      <c r="G56" s="22">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135</v>
      </c>
      <c r="C57" t="s">
        <v>59</v>
      </c>
      <c r="D57">
        <v>157</v>
      </c>
      <c r="E57" s="17" t="s">
        <v>22</v>
      </c>
      <c r="F57" s="18">
        <v>44947</v>
      </c>
      <c r="G57" s="22">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136</v>
      </c>
      <c r="C58" t="s">
        <v>61</v>
      </c>
      <c r="D58">
        <v>59</v>
      </c>
      <c r="E58" s="17" t="s">
        <v>33</v>
      </c>
      <c r="F58" s="18">
        <v>44948</v>
      </c>
      <c r="G58" s="22">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137</v>
      </c>
      <c r="C59" t="s">
        <v>56</v>
      </c>
      <c r="D59">
        <v>83</v>
      </c>
      <c r="E59" s="17" t="s">
        <v>22</v>
      </c>
      <c r="F59" s="18">
        <v>44948</v>
      </c>
      <c r="G59" s="22">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138</v>
      </c>
      <c r="C60" t="s">
        <v>59</v>
      </c>
      <c r="D60">
        <v>58</v>
      </c>
      <c r="E60" s="17" t="s">
        <v>30</v>
      </c>
      <c r="F60" s="18">
        <v>44949</v>
      </c>
      <c r="G60" s="22">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139</v>
      </c>
      <c r="C61" t="s">
        <v>62</v>
      </c>
      <c r="D61">
        <v>118</v>
      </c>
      <c r="E61" s="17" t="s">
        <v>30</v>
      </c>
      <c r="F61" s="18">
        <v>44949</v>
      </c>
      <c r="G61" s="22">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140</v>
      </c>
      <c r="C62" t="s">
        <v>55</v>
      </c>
      <c r="D62">
        <v>63</v>
      </c>
      <c r="E62" s="17" t="s">
        <v>33</v>
      </c>
      <c r="F62" s="18">
        <v>44949</v>
      </c>
      <c r="G62" s="2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141</v>
      </c>
      <c r="C63" t="s">
        <v>59</v>
      </c>
      <c r="D63">
        <v>95</v>
      </c>
      <c r="E63" s="17" t="s">
        <v>30</v>
      </c>
      <c r="F63" s="18">
        <v>44950</v>
      </c>
      <c r="G63" s="22">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142</v>
      </c>
      <c r="C64" t="s">
        <v>61</v>
      </c>
      <c r="D64">
        <v>74</v>
      </c>
      <c r="E64" s="17" t="s">
        <v>22</v>
      </c>
      <c r="F64" s="18">
        <v>44950</v>
      </c>
      <c r="G64" s="22">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143</v>
      </c>
      <c r="C65" t="s">
        <v>60</v>
      </c>
      <c r="D65">
        <v>130</v>
      </c>
      <c r="E65" s="17" t="s">
        <v>32</v>
      </c>
      <c r="F65" s="18">
        <v>44950</v>
      </c>
      <c r="G65" s="22">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144</v>
      </c>
      <c r="C66" t="s">
        <v>62</v>
      </c>
      <c r="D66">
        <v>110</v>
      </c>
      <c r="E66" s="17" t="s">
        <v>31</v>
      </c>
      <c r="F66" s="18">
        <v>44950</v>
      </c>
      <c r="G66" s="22">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145</v>
      </c>
      <c r="C67" t="s">
        <v>61</v>
      </c>
      <c r="D67">
        <v>71</v>
      </c>
      <c r="E67" s="17" t="s">
        <v>33</v>
      </c>
      <c r="F67" s="18">
        <v>44951</v>
      </c>
      <c r="G67" s="22">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146</v>
      </c>
      <c r="C68" t="s">
        <v>63</v>
      </c>
      <c r="D68">
        <v>147</v>
      </c>
      <c r="E68" s="17" t="s">
        <v>32</v>
      </c>
      <c r="F68" s="18">
        <v>44951</v>
      </c>
      <c r="G68" s="22">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147</v>
      </c>
      <c r="C69" t="s">
        <v>54</v>
      </c>
      <c r="D69">
        <v>69</v>
      </c>
      <c r="E69" s="17" t="s">
        <v>30</v>
      </c>
      <c r="F69" s="18">
        <v>44952</v>
      </c>
      <c r="G69" s="22">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148</v>
      </c>
      <c r="C70" t="s">
        <v>62</v>
      </c>
      <c r="D70">
        <v>50</v>
      </c>
      <c r="E70" s="17" t="s">
        <v>33</v>
      </c>
      <c r="F70" s="18">
        <v>44952</v>
      </c>
      <c r="G70" s="22">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149</v>
      </c>
      <c r="C71" t="s">
        <v>60</v>
      </c>
      <c r="D71">
        <v>124</v>
      </c>
      <c r="E71" s="17" t="s">
        <v>32</v>
      </c>
      <c r="F71" s="18">
        <v>44953</v>
      </c>
      <c r="G71" s="22">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150</v>
      </c>
      <c r="C72" t="s">
        <v>64</v>
      </c>
      <c r="D72">
        <v>81</v>
      </c>
      <c r="E72" s="17" t="s">
        <v>22</v>
      </c>
      <c r="F72" s="18">
        <v>44953</v>
      </c>
      <c r="G72" s="2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151</v>
      </c>
      <c r="C73" t="s">
        <v>65</v>
      </c>
      <c r="D73">
        <v>141</v>
      </c>
      <c r="E73" s="17" t="s">
        <v>31</v>
      </c>
      <c r="F73" s="18">
        <v>44953</v>
      </c>
      <c r="G73" s="22">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152</v>
      </c>
      <c r="C74" t="s">
        <v>65</v>
      </c>
      <c r="D74">
        <v>168</v>
      </c>
      <c r="E74" s="17" t="s">
        <v>31</v>
      </c>
      <c r="F74" s="18">
        <v>44954</v>
      </c>
      <c r="G74" s="22">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153</v>
      </c>
      <c r="C75" t="s">
        <v>63</v>
      </c>
      <c r="D75">
        <v>101</v>
      </c>
      <c r="E75" s="17" t="s">
        <v>22</v>
      </c>
      <c r="F75" s="18">
        <v>44954</v>
      </c>
      <c r="G75" s="22">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154</v>
      </c>
      <c r="C76" t="s">
        <v>61</v>
      </c>
      <c r="D76">
        <v>67</v>
      </c>
      <c r="E76" s="17" t="s">
        <v>22</v>
      </c>
      <c r="F76" s="18">
        <v>44954</v>
      </c>
      <c r="G76" s="22">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155</v>
      </c>
      <c r="C77" t="s">
        <v>59</v>
      </c>
      <c r="D77">
        <v>114</v>
      </c>
      <c r="E77" s="17" t="s">
        <v>31</v>
      </c>
      <c r="F77" s="18">
        <v>44956</v>
      </c>
      <c r="G77" s="22">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156</v>
      </c>
      <c r="C78" t="s">
        <v>64</v>
      </c>
      <c r="D78">
        <v>42</v>
      </c>
      <c r="E78" s="17" t="s">
        <v>22</v>
      </c>
      <c r="F78" s="18">
        <v>44956</v>
      </c>
      <c r="G78" s="22">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157</v>
      </c>
      <c r="C79" t="s">
        <v>55</v>
      </c>
      <c r="D79">
        <v>69</v>
      </c>
      <c r="E79" s="17" t="s">
        <v>31</v>
      </c>
      <c r="F79" s="18">
        <v>44956</v>
      </c>
      <c r="G79" s="22">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158</v>
      </c>
      <c r="C80" t="s">
        <v>60</v>
      </c>
      <c r="D80">
        <v>145</v>
      </c>
      <c r="E80" s="17" t="s">
        <v>30</v>
      </c>
      <c r="F80" s="18">
        <v>44956</v>
      </c>
      <c r="G80" s="22">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159</v>
      </c>
      <c r="C81" t="s">
        <v>54</v>
      </c>
      <c r="D81">
        <v>43</v>
      </c>
      <c r="E81" s="17" t="s">
        <v>31</v>
      </c>
      <c r="F81" s="18">
        <v>44956</v>
      </c>
      <c r="G81" s="22">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160</v>
      </c>
      <c r="C82" t="s">
        <v>55</v>
      </c>
      <c r="D82">
        <v>62</v>
      </c>
      <c r="E82" s="17" t="s">
        <v>33</v>
      </c>
      <c r="F82" s="18">
        <v>44957</v>
      </c>
      <c r="G82" s="2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161</v>
      </c>
      <c r="C83" t="s">
        <v>66</v>
      </c>
      <c r="D83">
        <v>79</v>
      </c>
      <c r="E83" s="17" t="s">
        <v>31</v>
      </c>
      <c r="F83" s="18">
        <v>44958</v>
      </c>
      <c r="G83" s="22">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162</v>
      </c>
      <c r="C84" t="s">
        <v>60</v>
      </c>
      <c r="D84">
        <v>45</v>
      </c>
      <c r="E84" s="17" t="s">
        <v>32</v>
      </c>
      <c r="F84" s="18">
        <v>44958</v>
      </c>
      <c r="G84" s="22">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163</v>
      </c>
      <c r="C85" t="s">
        <v>55</v>
      </c>
      <c r="D85">
        <v>137</v>
      </c>
      <c r="E85" s="17" t="s">
        <v>31</v>
      </c>
      <c r="F85" s="18">
        <v>44958</v>
      </c>
      <c r="G85" s="22">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164</v>
      </c>
      <c r="C86" t="s">
        <v>59</v>
      </c>
      <c r="D86">
        <v>109</v>
      </c>
      <c r="E86" s="17" t="s">
        <v>33</v>
      </c>
      <c r="F86" s="18">
        <v>44958</v>
      </c>
      <c r="G86" s="22">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165</v>
      </c>
      <c r="C87" t="s">
        <v>54</v>
      </c>
      <c r="D87">
        <v>78</v>
      </c>
      <c r="E87" s="17" t="s">
        <v>33</v>
      </c>
      <c r="F87" s="18">
        <v>44958</v>
      </c>
      <c r="G87" s="22">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166</v>
      </c>
      <c r="C88" t="s">
        <v>55</v>
      </c>
      <c r="D88">
        <v>137</v>
      </c>
      <c r="E88" s="17" t="s">
        <v>32</v>
      </c>
      <c r="F88" s="18">
        <v>44958</v>
      </c>
      <c r="G88" s="22">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167</v>
      </c>
      <c r="C89" t="s">
        <v>67</v>
      </c>
      <c r="D89">
        <v>99</v>
      </c>
      <c r="E89" s="17" t="s">
        <v>33</v>
      </c>
      <c r="F89" s="18">
        <v>44959</v>
      </c>
      <c r="G89" s="22">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168</v>
      </c>
      <c r="C90" t="s">
        <v>62</v>
      </c>
      <c r="D90">
        <v>100</v>
      </c>
      <c r="E90" s="17" t="s">
        <v>33</v>
      </c>
      <c r="F90" s="18">
        <v>44959</v>
      </c>
      <c r="G90" s="22">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169</v>
      </c>
      <c r="C91" t="s">
        <v>54</v>
      </c>
      <c r="D91">
        <v>47</v>
      </c>
      <c r="E91" s="17" t="s">
        <v>30</v>
      </c>
      <c r="F91" s="18">
        <v>44959</v>
      </c>
      <c r="G91" s="22">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170</v>
      </c>
      <c r="C92" t="s">
        <v>59</v>
      </c>
      <c r="D92">
        <v>87</v>
      </c>
      <c r="E92" s="17" t="s">
        <v>22</v>
      </c>
      <c r="F92" s="18">
        <v>44959</v>
      </c>
      <c r="G92" s="2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171</v>
      </c>
      <c r="C93" t="s">
        <v>67</v>
      </c>
      <c r="D93">
        <v>143</v>
      </c>
      <c r="E93" s="17" t="s">
        <v>22</v>
      </c>
      <c r="F93" s="18">
        <v>44961</v>
      </c>
      <c r="G93" s="22">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172</v>
      </c>
      <c r="C94" t="s">
        <v>62</v>
      </c>
      <c r="D94">
        <v>84</v>
      </c>
      <c r="E94" s="17" t="s">
        <v>33</v>
      </c>
      <c r="F94" s="18">
        <v>44961</v>
      </c>
      <c r="G94" s="22">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173</v>
      </c>
      <c r="C95" t="s">
        <v>63</v>
      </c>
      <c r="D95">
        <v>55</v>
      </c>
      <c r="E95" s="17" t="s">
        <v>22</v>
      </c>
      <c r="F95" s="18">
        <v>44962</v>
      </c>
      <c r="G95" s="22">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174</v>
      </c>
      <c r="C96" t="s">
        <v>58</v>
      </c>
      <c r="D96">
        <v>135</v>
      </c>
      <c r="E96" s="17" t="s">
        <v>32</v>
      </c>
      <c r="F96" s="18">
        <v>44964</v>
      </c>
      <c r="G96" s="22">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175</v>
      </c>
      <c r="C97" t="s">
        <v>56</v>
      </c>
      <c r="D97">
        <v>152</v>
      </c>
      <c r="E97" s="17" t="s">
        <v>30</v>
      </c>
      <c r="F97" s="18">
        <v>44964</v>
      </c>
      <c r="G97" s="22">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176</v>
      </c>
      <c r="C98" t="s">
        <v>64</v>
      </c>
      <c r="D98">
        <v>132</v>
      </c>
      <c r="E98" s="17" t="s">
        <v>30</v>
      </c>
      <c r="F98" s="18">
        <v>44964</v>
      </c>
      <c r="G98" s="22">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177</v>
      </c>
      <c r="C99" t="s">
        <v>65</v>
      </c>
      <c r="D99">
        <v>60</v>
      </c>
      <c r="E99" s="17" t="s">
        <v>33</v>
      </c>
      <c r="F99" s="18">
        <v>44965</v>
      </c>
      <c r="G99" s="22">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178</v>
      </c>
      <c r="C100" t="s">
        <v>56</v>
      </c>
      <c r="D100">
        <v>95</v>
      </c>
      <c r="E100" s="17" t="s">
        <v>30</v>
      </c>
      <c r="F100" s="18">
        <v>44965</v>
      </c>
      <c r="G100" s="22">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179</v>
      </c>
      <c r="C101" t="s">
        <v>53</v>
      </c>
      <c r="D101">
        <v>96</v>
      </c>
      <c r="E101" s="17" t="s">
        <v>31</v>
      </c>
      <c r="F101" s="18">
        <v>44965</v>
      </c>
      <c r="G101" s="22">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180</v>
      </c>
      <c r="C102" t="s">
        <v>63</v>
      </c>
      <c r="D102">
        <v>45</v>
      </c>
      <c r="E102" s="17" t="s">
        <v>33</v>
      </c>
      <c r="F102" s="18">
        <v>44966</v>
      </c>
      <c r="G102" s="2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181</v>
      </c>
      <c r="C103" t="s">
        <v>53</v>
      </c>
      <c r="D103">
        <v>132</v>
      </c>
      <c r="E103" s="17" t="s">
        <v>31</v>
      </c>
      <c r="F103" s="18">
        <v>44967</v>
      </c>
      <c r="G103" s="22">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182</v>
      </c>
      <c r="C104" t="s">
        <v>61</v>
      </c>
      <c r="D104">
        <v>95</v>
      </c>
      <c r="E104" s="17" t="s">
        <v>33</v>
      </c>
      <c r="F104" s="18">
        <v>44967</v>
      </c>
      <c r="G104" s="22">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183</v>
      </c>
      <c r="C105" t="s">
        <v>56</v>
      </c>
      <c r="D105">
        <v>131</v>
      </c>
      <c r="E105" s="17" t="s">
        <v>22</v>
      </c>
      <c r="F105" s="18">
        <v>44967</v>
      </c>
      <c r="G105" s="22">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184</v>
      </c>
      <c r="C106" t="s">
        <v>66</v>
      </c>
      <c r="D106">
        <v>67</v>
      </c>
      <c r="E106" s="17" t="s">
        <v>32</v>
      </c>
      <c r="F106" s="18">
        <v>44968</v>
      </c>
      <c r="G106" s="22">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185</v>
      </c>
      <c r="C107" t="s">
        <v>67</v>
      </c>
      <c r="D107">
        <v>111</v>
      </c>
      <c r="E107" s="17" t="s">
        <v>22</v>
      </c>
      <c r="F107" s="18">
        <v>44969</v>
      </c>
      <c r="G107" s="22">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186</v>
      </c>
      <c r="C108" t="s">
        <v>64</v>
      </c>
      <c r="D108">
        <v>78</v>
      </c>
      <c r="E108" s="17" t="s">
        <v>30</v>
      </c>
      <c r="F108" s="18">
        <v>44969</v>
      </c>
      <c r="G108" s="22">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187</v>
      </c>
      <c r="C109" t="s">
        <v>57</v>
      </c>
      <c r="D109">
        <v>28</v>
      </c>
      <c r="E109" s="17" t="s">
        <v>31</v>
      </c>
      <c r="F109" s="18">
        <v>44969</v>
      </c>
      <c r="G109" s="22">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188</v>
      </c>
      <c r="C110" t="s">
        <v>54</v>
      </c>
      <c r="D110">
        <v>127</v>
      </c>
      <c r="E110" s="17" t="s">
        <v>32</v>
      </c>
      <c r="F110" s="18">
        <v>44970</v>
      </c>
      <c r="G110" s="22">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189</v>
      </c>
      <c r="C111" t="s">
        <v>62</v>
      </c>
      <c r="D111">
        <v>137</v>
      </c>
      <c r="E111" s="17" t="s">
        <v>22</v>
      </c>
      <c r="F111" s="18">
        <v>44970</v>
      </c>
      <c r="G111" s="22">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190</v>
      </c>
      <c r="C112" t="s">
        <v>54</v>
      </c>
      <c r="D112">
        <v>76</v>
      </c>
      <c r="E112" s="17" t="s">
        <v>31</v>
      </c>
      <c r="F112" s="18">
        <v>44970</v>
      </c>
      <c r="G112" s="2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191</v>
      </c>
      <c r="C113" t="s">
        <v>64</v>
      </c>
      <c r="D113">
        <v>80</v>
      </c>
      <c r="E113" s="17" t="s">
        <v>32</v>
      </c>
      <c r="F113" s="18">
        <v>44971</v>
      </c>
      <c r="G113" s="22">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192</v>
      </c>
      <c r="C114" t="s">
        <v>54</v>
      </c>
      <c r="D114">
        <v>95</v>
      </c>
      <c r="E114" s="17" t="s">
        <v>30</v>
      </c>
      <c r="F114" s="18">
        <v>44972</v>
      </c>
      <c r="G114" s="22">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193</v>
      </c>
      <c r="C115" t="s">
        <v>65</v>
      </c>
      <c r="D115">
        <v>30</v>
      </c>
      <c r="E115" s="17" t="s">
        <v>31</v>
      </c>
      <c r="F115" s="18">
        <v>44972</v>
      </c>
      <c r="G115" s="22">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194</v>
      </c>
      <c r="C116" t="s">
        <v>55</v>
      </c>
      <c r="D116">
        <v>19</v>
      </c>
      <c r="E116" s="17" t="s">
        <v>22</v>
      </c>
      <c r="F116" s="18">
        <v>44972</v>
      </c>
      <c r="G116" s="22">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195</v>
      </c>
      <c r="C117" t="s">
        <v>60</v>
      </c>
      <c r="D117">
        <v>38</v>
      </c>
      <c r="E117" s="17" t="s">
        <v>32</v>
      </c>
      <c r="F117" s="18">
        <v>44972</v>
      </c>
      <c r="G117" s="22">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196</v>
      </c>
      <c r="C118" t="s">
        <v>61</v>
      </c>
      <c r="D118">
        <v>55</v>
      </c>
      <c r="E118" s="17" t="s">
        <v>22</v>
      </c>
      <c r="F118" s="18">
        <v>44972</v>
      </c>
      <c r="G118" s="22">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197</v>
      </c>
      <c r="C119" t="s">
        <v>66</v>
      </c>
      <c r="D119">
        <v>27</v>
      </c>
      <c r="E119" s="17" t="s">
        <v>31</v>
      </c>
      <c r="F119" s="18">
        <v>44973</v>
      </c>
      <c r="G119" s="22">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198</v>
      </c>
      <c r="C120" t="s">
        <v>66</v>
      </c>
      <c r="D120">
        <v>32</v>
      </c>
      <c r="E120" s="17" t="s">
        <v>31</v>
      </c>
      <c r="F120" s="18">
        <v>44973</v>
      </c>
      <c r="G120" s="22">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199</v>
      </c>
      <c r="C121" t="s">
        <v>57</v>
      </c>
      <c r="D121">
        <v>116</v>
      </c>
      <c r="E121" s="17" t="s">
        <v>33</v>
      </c>
      <c r="F121" s="18">
        <v>44973</v>
      </c>
      <c r="G121" s="22">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200</v>
      </c>
      <c r="C122" t="s">
        <v>53</v>
      </c>
      <c r="D122">
        <v>99</v>
      </c>
      <c r="E122" s="17" t="s">
        <v>30</v>
      </c>
      <c r="F122" s="18">
        <v>44973</v>
      </c>
      <c r="G122" s="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201</v>
      </c>
      <c r="C123" t="s">
        <v>54</v>
      </c>
      <c r="D123">
        <v>75</v>
      </c>
      <c r="E123" s="17" t="s">
        <v>31</v>
      </c>
      <c r="F123" s="18">
        <v>44974</v>
      </c>
      <c r="G123" s="22">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202</v>
      </c>
      <c r="C124" t="s">
        <v>64</v>
      </c>
      <c r="D124">
        <v>57</v>
      </c>
      <c r="E124" s="17" t="s">
        <v>33</v>
      </c>
      <c r="F124" s="18">
        <v>44974</v>
      </c>
      <c r="G124" s="22">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203</v>
      </c>
      <c r="C125" t="s">
        <v>58</v>
      </c>
      <c r="D125">
        <v>155</v>
      </c>
      <c r="E125" s="17" t="s">
        <v>33</v>
      </c>
      <c r="F125" s="18">
        <v>44975</v>
      </c>
      <c r="G125" s="22">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204</v>
      </c>
      <c r="C126" t="s">
        <v>53</v>
      </c>
      <c r="D126">
        <v>68</v>
      </c>
      <c r="E126" s="17" t="s">
        <v>30</v>
      </c>
      <c r="F126" s="18">
        <v>44975</v>
      </c>
      <c r="G126" s="22">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205</v>
      </c>
      <c r="C127" t="s">
        <v>60</v>
      </c>
      <c r="D127">
        <v>95</v>
      </c>
      <c r="E127" s="17" t="s">
        <v>30</v>
      </c>
      <c r="F127" s="18">
        <v>44975</v>
      </c>
      <c r="G127" s="22">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206</v>
      </c>
      <c r="C128" t="s">
        <v>62</v>
      </c>
      <c r="D128">
        <v>65</v>
      </c>
      <c r="E128" s="17" t="s">
        <v>33</v>
      </c>
      <c r="F128" s="18">
        <v>44976</v>
      </c>
      <c r="G128" s="22">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207</v>
      </c>
      <c r="C129" t="s">
        <v>55</v>
      </c>
      <c r="D129">
        <v>114</v>
      </c>
      <c r="E129" s="17" t="s">
        <v>22</v>
      </c>
      <c r="F129" s="18">
        <v>44976</v>
      </c>
      <c r="G129" s="22">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208</v>
      </c>
      <c r="C130" t="s">
        <v>54</v>
      </c>
      <c r="D130">
        <v>155</v>
      </c>
      <c r="E130" s="17" t="s">
        <v>22</v>
      </c>
      <c r="F130" s="18">
        <v>44977</v>
      </c>
      <c r="G130" s="22">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209</v>
      </c>
      <c r="C131" t="s">
        <v>62</v>
      </c>
      <c r="D131">
        <v>114</v>
      </c>
      <c r="E131" s="17" t="s">
        <v>33</v>
      </c>
      <c r="F131" s="18">
        <v>44978</v>
      </c>
      <c r="G131" s="22">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210</v>
      </c>
      <c r="C132" t="s">
        <v>58</v>
      </c>
      <c r="D132">
        <v>130</v>
      </c>
      <c r="E132" s="17" t="s">
        <v>32</v>
      </c>
      <c r="F132" s="18">
        <v>44978</v>
      </c>
      <c r="G132" s="2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211</v>
      </c>
      <c r="C133" t="s">
        <v>54</v>
      </c>
      <c r="D133">
        <v>89</v>
      </c>
      <c r="E133" s="17" t="s">
        <v>33</v>
      </c>
      <c r="F133" s="18">
        <v>44978</v>
      </c>
      <c r="G133" s="22">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212</v>
      </c>
      <c r="C134" t="s">
        <v>63</v>
      </c>
      <c r="D134">
        <v>61</v>
      </c>
      <c r="E134" s="17" t="s">
        <v>31</v>
      </c>
      <c r="F134" s="18">
        <v>44979</v>
      </c>
      <c r="G134" s="22">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213</v>
      </c>
      <c r="C135" t="s">
        <v>60</v>
      </c>
      <c r="D135">
        <v>154</v>
      </c>
      <c r="E135" s="17" t="s">
        <v>22</v>
      </c>
      <c r="F135" s="18">
        <v>44979</v>
      </c>
      <c r="G135" s="22">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214</v>
      </c>
      <c r="C136" t="s">
        <v>62</v>
      </c>
      <c r="D136">
        <v>115</v>
      </c>
      <c r="E136" s="17" t="s">
        <v>32</v>
      </c>
      <c r="F136" s="18">
        <v>44980</v>
      </c>
      <c r="G136" s="22">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215</v>
      </c>
      <c r="C137" t="s">
        <v>59</v>
      </c>
      <c r="D137">
        <v>138</v>
      </c>
      <c r="E137" s="17" t="s">
        <v>30</v>
      </c>
      <c r="F137" s="18">
        <v>44981</v>
      </c>
      <c r="G137" s="22">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216</v>
      </c>
      <c r="C138" t="s">
        <v>67</v>
      </c>
      <c r="D138">
        <v>153</v>
      </c>
      <c r="E138" s="17" t="s">
        <v>33</v>
      </c>
      <c r="F138" s="18">
        <v>44981</v>
      </c>
      <c r="G138" s="22">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217</v>
      </c>
      <c r="C139" t="s">
        <v>62</v>
      </c>
      <c r="D139">
        <v>61</v>
      </c>
      <c r="E139" s="17" t="s">
        <v>31</v>
      </c>
      <c r="F139" s="18">
        <v>44982</v>
      </c>
      <c r="G139" s="22">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218</v>
      </c>
      <c r="C140" t="s">
        <v>66</v>
      </c>
      <c r="D140">
        <v>62</v>
      </c>
      <c r="E140" s="17" t="s">
        <v>33</v>
      </c>
      <c r="F140" s="18">
        <v>44982</v>
      </c>
      <c r="G140" s="22">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219</v>
      </c>
      <c r="C141" t="s">
        <v>63</v>
      </c>
      <c r="D141">
        <v>151</v>
      </c>
      <c r="E141" s="17" t="s">
        <v>32</v>
      </c>
      <c r="F141" s="18">
        <v>44983</v>
      </c>
      <c r="G141" s="22">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220</v>
      </c>
      <c r="C142" t="s">
        <v>56</v>
      </c>
      <c r="D142">
        <v>102</v>
      </c>
      <c r="E142" s="17" t="s">
        <v>22</v>
      </c>
      <c r="F142" s="18">
        <v>44983</v>
      </c>
      <c r="G142" s="2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221</v>
      </c>
      <c r="C143" t="s">
        <v>65</v>
      </c>
      <c r="D143">
        <v>64</v>
      </c>
      <c r="E143" s="17" t="s">
        <v>33</v>
      </c>
      <c r="F143" s="18">
        <v>44983</v>
      </c>
      <c r="G143" s="22">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222</v>
      </c>
      <c r="C144" t="s">
        <v>54</v>
      </c>
      <c r="D144">
        <v>6</v>
      </c>
      <c r="E144" s="17" t="s">
        <v>22</v>
      </c>
      <c r="F144" s="18">
        <v>44984</v>
      </c>
      <c r="G144" s="22">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223</v>
      </c>
      <c r="C145" t="s">
        <v>65</v>
      </c>
      <c r="D145">
        <v>129</v>
      </c>
      <c r="E145" s="17" t="s">
        <v>33</v>
      </c>
      <c r="F145" s="18">
        <v>44984</v>
      </c>
      <c r="G145" s="22">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224</v>
      </c>
      <c r="C146" t="s">
        <v>66</v>
      </c>
      <c r="D146">
        <v>42</v>
      </c>
      <c r="E146" s="17" t="s">
        <v>32</v>
      </c>
      <c r="F146" s="18">
        <v>44985</v>
      </c>
      <c r="G146" s="22">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225</v>
      </c>
      <c r="C147" t="s">
        <v>66</v>
      </c>
      <c r="D147">
        <v>71</v>
      </c>
      <c r="E147" s="17" t="s">
        <v>31</v>
      </c>
      <c r="F147" s="18">
        <v>44985</v>
      </c>
      <c r="G147" s="22">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226</v>
      </c>
      <c r="C148" t="s">
        <v>64</v>
      </c>
      <c r="D148">
        <v>53</v>
      </c>
      <c r="E148" s="17" t="s">
        <v>22</v>
      </c>
      <c r="F148" s="18">
        <v>44985</v>
      </c>
      <c r="G148" s="22">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227</v>
      </c>
      <c r="C149" t="s">
        <v>55</v>
      </c>
      <c r="D149">
        <v>155</v>
      </c>
      <c r="E149" s="17" t="s">
        <v>31</v>
      </c>
      <c r="F149" s="18">
        <v>44986</v>
      </c>
      <c r="G149" s="22">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228</v>
      </c>
      <c r="C150" t="s">
        <v>55</v>
      </c>
      <c r="D150">
        <v>90</v>
      </c>
      <c r="E150" s="17" t="s">
        <v>32</v>
      </c>
      <c r="F150" s="18">
        <v>44986</v>
      </c>
      <c r="G150" s="22">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229</v>
      </c>
      <c r="C151" t="s">
        <v>65</v>
      </c>
      <c r="D151">
        <v>166</v>
      </c>
      <c r="E151" s="17" t="s">
        <v>30</v>
      </c>
      <c r="F151" s="18">
        <v>44986</v>
      </c>
      <c r="G151" s="22">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230</v>
      </c>
      <c r="C152" t="s">
        <v>57</v>
      </c>
      <c r="D152">
        <v>89</v>
      </c>
      <c r="E152" s="17" t="s">
        <v>31</v>
      </c>
      <c r="F152" s="18">
        <v>44986</v>
      </c>
      <c r="G152" s="2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231</v>
      </c>
      <c r="C153" t="s">
        <v>62</v>
      </c>
      <c r="D153">
        <v>152</v>
      </c>
      <c r="E153" s="17" t="s">
        <v>22</v>
      </c>
      <c r="F153" s="18">
        <v>44986</v>
      </c>
      <c r="G153" s="22">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232</v>
      </c>
      <c r="C154" t="s">
        <v>57</v>
      </c>
      <c r="D154">
        <v>137</v>
      </c>
      <c r="E154" s="17" t="s">
        <v>32</v>
      </c>
      <c r="F154" s="18">
        <v>44986</v>
      </c>
      <c r="G154" s="22">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233</v>
      </c>
      <c r="C155" t="s">
        <v>57</v>
      </c>
      <c r="D155">
        <v>43</v>
      </c>
      <c r="E155" s="17" t="s">
        <v>32</v>
      </c>
      <c r="F155" s="18">
        <v>44986</v>
      </c>
      <c r="G155" s="22">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234</v>
      </c>
      <c r="C156" t="s">
        <v>60</v>
      </c>
      <c r="D156">
        <v>114</v>
      </c>
      <c r="E156" s="17" t="s">
        <v>32</v>
      </c>
      <c r="F156" s="18">
        <v>44987</v>
      </c>
      <c r="G156" s="22">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235</v>
      </c>
      <c r="C157" t="s">
        <v>67</v>
      </c>
      <c r="D157">
        <v>103</v>
      </c>
      <c r="E157" s="17" t="s">
        <v>31</v>
      </c>
      <c r="F157" s="18">
        <v>44987</v>
      </c>
      <c r="G157" s="22">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236</v>
      </c>
      <c r="C158" t="s">
        <v>57</v>
      </c>
      <c r="D158">
        <v>98</v>
      </c>
      <c r="E158" s="17" t="s">
        <v>22</v>
      </c>
      <c r="F158" s="18">
        <v>44987</v>
      </c>
      <c r="G158" s="22">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237</v>
      </c>
      <c r="C159" t="s">
        <v>65</v>
      </c>
      <c r="D159">
        <v>106</v>
      </c>
      <c r="E159" s="17" t="s">
        <v>30</v>
      </c>
      <c r="F159" s="18">
        <v>44987</v>
      </c>
      <c r="G159" s="22">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238</v>
      </c>
      <c r="C160" t="s">
        <v>54</v>
      </c>
      <c r="D160">
        <v>96</v>
      </c>
      <c r="E160" s="17" t="s">
        <v>30</v>
      </c>
      <c r="F160" s="18">
        <v>44987</v>
      </c>
      <c r="G160" s="22">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239</v>
      </c>
      <c r="C161" t="s">
        <v>67</v>
      </c>
      <c r="D161">
        <v>70</v>
      </c>
      <c r="E161" s="17" t="s">
        <v>30</v>
      </c>
      <c r="F161" s="18">
        <v>44987</v>
      </c>
      <c r="G161" s="22">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240</v>
      </c>
      <c r="C162" t="s">
        <v>66</v>
      </c>
      <c r="D162">
        <v>86</v>
      </c>
      <c r="E162" s="17" t="s">
        <v>33</v>
      </c>
      <c r="F162" s="18">
        <v>44988</v>
      </c>
      <c r="G162" s="2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241</v>
      </c>
      <c r="C163" t="s">
        <v>64</v>
      </c>
      <c r="D163">
        <v>64</v>
      </c>
      <c r="E163" s="17" t="s">
        <v>33</v>
      </c>
      <c r="F163" s="18">
        <v>44988</v>
      </c>
      <c r="G163" s="22">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242</v>
      </c>
      <c r="C164" t="s">
        <v>54</v>
      </c>
      <c r="D164">
        <v>113</v>
      </c>
      <c r="E164" s="17" t="s">
        <v>22</v>
      </c>
      <c r="F164" s="18">
        <v>44988</v>
      </c>
      <c r="G164" s="22">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243</v>
      </c>
      <c r="C165" t="s">
        <v>54</v>
      </c>
      <c r="D165">
        <v>21</v>
      </c>
      <c r="E165" s="17" t="s">
        <v>30</v>
      </c>
      <c r="F165" s="18">
        <v>44988</v>
      </c>
      <c r="G165" s="22">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244</v>
      </c>
      <c r="C166" t="s">
        <v>56</v>
      </c>
      <c r="D166">
        <v>107</v>
      </c>
      <c r="E166" s="17" t="s">
        <v>33</v>
      </c>
      <c r="F166" s="18">
        <v>44988</v>
      </c>
      <c r="G166" s="22">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245</v>
      </c>
      <c r="C167" t="s">
        <v>56</v>
      </c>
      <c r="D167">
        <v>131</v>
      </c>
      <c r="E167" s="17" t="s">
        <v>30</v>
      </c>
      <c r="F167" s="18">
        <v>44988</v>
      </c>
      <c r="G167" s="22">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246</v>
      </c>
      <c r="C168" t="s">
        <v>53</v>
      </c>
      <c r="D168">
        <v>11</v>
      </c>
      <c r="E168" s="17" t="s">
        <v>31</v>
      </c>
      <c r="F168" s="18">
        <v>44988</v>
      </c>
      <c r="G168" s="22">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247</v>
      </c>
      <c r="C169" t="s">
        <v>63</v>
      </c>
      <c r="D169">
        <v>86</v>
      </c>
      <c r="E169" s="17" t="s">
        <v>22</v>
      </c>
      <c r="F169" s="18">
        <v>44988</v>
      </c>
      <c r="G169" s="22">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248</v>
      </c>
      <c r="C170" t="s">
        <v>64</v>
      </c>
      <c r="D170">
        <v>28</v>
      </c>
      <c r="E170" s="17" t="s">
        <v>31</v>
      </c>
      <c r="F170" s="18">
        <v>44988</v>
      </c>
      <c r="G170" s="22">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249</v>
      </c>
      <c r="C171" t="s">
        <v>55</v>
      </c>
      <c r="D171">
        <v>139</v>
      </c>
      <c r="E171" s="17" t="s">
        <v>30</v>
      </c>
      <c r="F171" s="18">
        <v>44989</v>
      </c>
      <c r="G171" s="22">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250</v>
      </c>
      <c r="C172" t="s">
        <v>65</v>
      </c>
      <c r="D172">
        <v>82</v>
      </c>
      <c r="E172" s="17" t="s">
        <v>22</v>
      </c>
      <c r="F172" s="18">
        <v>44989</v>
      </c>
      <c r="G172" s="2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251</v>
      </c>
      <c r="C173" t="s">
        <v>54</v>
      </c>
      <c r="D173">
        <v>101</v>
      </c>
      <c r="E173" s="17" t="s">
        <v>31</v>
      </c>
      <c r="F173" s="18">
        <v>44989</v>
      </c>
      <c r="G173" s="22">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252</v>
      </c>
      <c r="C174" t="s">
        <v>64</v>
      </c>
      <c r="D174">
        <v>75</v>
      </c>
      <c r="E174" s="17" t="s">
        <v>32</v>
      </c>
      <c r="F174" s="18">
        <v>44989</v>
      </c>
      <c r="G174" s="22">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253</v>
      </c>
      <c r="C175" t="s">
        <v>60</v>
      </c>
      <c r="D175">
        <v>40</v>
      </c>
      <c r="E175" s="17" t="s">
        <v>31</v>
      </c>
      <c r="F175" s="18">
        <v>44990</v>
      </c>
      <c r="G175" s="22">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254</v>
      </c>
      <c r="C176" t="s">
        <v>57</v>
      </c>
      <c r="D176">
        <v>86</v>
      </c>
      <c r="E176" s="17" t="s">
        <v>30</v>
      </c>
      <c r="F176" s="18">
        <v>44990</v>
      </c>
      <c r="G176" s="22">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255</v>
      </c>
      <c r="C177" t="s">
        <v>58</v>
      </c>
      <c r="D177">
        <v>131</v>
      </c>
      <c r="E177" s="17" t="s">
        <v>33</v>
      </c>
      <c r="F177" s="18">
        <v>44990</v>
      </c>
      <c r="G177" s="22">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256</v>
      </c>
      <c r="C178" t="s">
        <v>56</v>
      </c>
      <c r="D178">
        <v>67</v>
      </c>
      <c r="E178" s="17" t="s">
        <v>22</v>
      </c>
      <c r="F178" s="18">
        <v>44990</v>
      </c>
      <c r="G178" s="22">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257</v>
      </c>
      <c r="C179" t="s">
        <v>59</v>
      </c>
      <c r="D179">
        <v>71</v>
      </c>
      <c r="E179" s="17" t="s">
        <v>31</v>
      </c>
      <c r="F179" s="18">
        <v>44990</v>
      </c>
      <c r="G179" s="22">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258</v>
      </c>
      <c r="C180" t="s">
        <v>58</v>
      </c>
      <c r="D180">
        <v>113</v>
      </c>
      <c r="E180" s="17" t="s">
        <v>33</v>
      </c>
      <c r="F180" s="18">
        <v>44990</v>
      </c>
      <c r="G180" s="22">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259</v>
      </c>
      <c r="C181" t="s">
        <v>65</v>
      </c>
      <c r="D181">
        <v>53</v>
      </c>
      <c r="E181" s="17" t="s">
        <v>30</v>
      </c>
      <c r="F181" s="18">
        <v>44991</v>
      </c>
      <c r="G181" s="22">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260</v>
      </c>
      <c r="C182" t="s">
        <v>58</v>
      </c>
      <c r="D182">
        <v>153</v>
      </c>
      <c r="E182" s="17" t="s">
        <v>22</v>
      </c>
      <c r="F182" s="18">
        <v>44991</v>
      </c>
      <c r="G182" s="2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261</v>
      </c>
      <c r="C183" t="s">
        <v>56</v>
      </c>
      <c r="D183">
        <v>73</v>
      </c>
      <c r="E183" s="17" t="s">
        <v>32</v>
      </c>
      <c r="F183" s="18">
        <v>44991</v>
      </c>
      <c r="G183" s="22">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262</v>
      </c>
      <c r="C184" t="s">
        <v>66</v>
      </c>
      <c r="D184">
        <v>62</v>
      </c>
      <c r="E184" s="17" t="s">
        <v>32</v>
      </c>
      <c r="F184" s="18">
        <v>44991</v>
      </c>
      <c r="G184" s="22">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263</v>
      </c>
      <c r="C185" t="s">
        <v>55</v>
      </c>
      <c r="D185">
        <v>115</v>
      </c>
      <c r="E185" s="17" t="s">
        <v>30</v>
      </c>
      <c r="F185" s="18">
        <v>44992</v>
      </c>
      <c r="G185" s="22">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264</v>
      </c>
      <c r="C186" t="s">
        <v>58</v>
      </c>
      <c r="D186">
        <v>69</v>
      </c>
      <c r="E186" s="17" t="s">
        <v>30</v>
      </c>
      <c r="F186" s="18">
        <v>44992</v>
      </c>
      <c r="G186" s="22">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265</v>
      </c>
      <c r="C187" t="s">
        <v>57</v>
      </c>
      <c r="D187">
        <v>103</v>
      </c>
      <c r="E187" s="17" t="s">
        <v>33</v>
      </c>
      <c r="F187" s="18">
        <v>44992</v>
      </c>
      <c r="G187" s="22">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266</v>
      </c>
      <c r="C188" t="s">
        <v>57</v>
      </c>
      <c r="D188">
        <v>75</v>
      </c>
      <c r="E188" s="17" t="s">
        <v>33</v>
      </c>
      <c r="F188" s="18">
        <v>44992</v>
      </c>
      <c r="G188" s="22">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267</v>
      </c>
      <c r="C189" t="s">
        <v>61</v>
      </c>
      <c r="D189">
        <v>92</v>
      </c>
      <c r="E189" s="17" t="s">
        <v>33</v>
      </c>
      <c r="F189" s="18">
        <v>44992</v>
      </c>
      <c r="G189" s="22">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268</v>
      </c>
      <c r="C190" t="s">
        <v>61</v>
      </c>
      <c r="D190">
        <v>41</v>
      </c>
      <c r="E190" s="17" t="s">
        <v>32</v>
      </c>
      <c r="F190" s="18">
        <v>44992</v>
      </c>
      <c r="G190" s="22">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269</v>
      </c>
      <c r="C191" t="s">
        <v>57</v>
      </c>
      <c r="D191">
        <v>134</v>
      </c>
      <c r="E191" s="17" t="s">
        <v>22</v>
      </c>
      <c r="F191" s="18">
        <v>44992</v>
      </c>
      <c r="G191" s="22">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270</v>
      </c>
      <c r="C192" t="s">
        <v>63</v>
      </c>
      <c r="D192">
        <v>80</v>
      </c>
      <c r="E192" s="17" t="s">
        <v>31</v>
      </c>
      <c r="F192" s="18">
        <v>44992</v>
      </c>
      <c r="G192" s="2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271</v>
      </c>
      <c r="C193" t="s">
        <v>59</v>
      </c>
      <c r="D193">
        <v>103</v>
      </c>
      <c r="E193" s="17" t="s">
        <v>30</v>
      </c>
      <c r="F193" s="18">
        <v>44993</v>
      </c>
      <c r="G193" s="22">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272</v>
      </c>
      <c r="C194" t="s">
        <v>65</v>
      </c>
      <c r="D194">
        <v>20</v>
      </c>
      <c r="E194" s="17" t="s">
        <v>33</v>
      </c>
      <c r="F194" s="18">
        <v>44994</v>
      </c>
      <c r="G194" s="22">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273</v>
      </c>
      <c r="C195" t="s">
        <v>59</v>
      </c>
      <c r="D195">
        <v>75</v>
      </c>
      <c r="E195" s="17" t="s">
        <v>31</v>
      </c>
      <c r="F195" s="18">
        <v>44994</v>
      </c>
      <c r="G195" s="22">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274</v>
      </c>
      <c r="C196" t="s">
        <v>61</v>
      </c>
      <c r="D196">
        <v>80</v>
      </c>
      <c r="E196" s="17" t="s">
        <v>22</v>
      </c>
      <c r="F196" s="18">
        <v>44994</v>
      </c>
      <c r="G196" s="22">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275</v>
      </c>
      <c r="C197" t="s">
        <v>58</v>
      </c>
      <c r="D197">
        <v>85</v>
      </c>
      <c r="E197" s="17" t="s">
        <v>32</v>
      </c>
      <c r="F197" s="18">
        <v>44995</v>
      </c>
      <c r="G197" s="22">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276</v>
      </c>
      <c r="C198" t="s">
        <v>54</v>
      </c>
      <c r="D198">
        <v>155</v>
      </c>
      <c r="E198" s="17" t="s">
        <v>33</v>
      </c>
      <c r="F198" s="18">
        <v>44995</v>
      </c>
      <c r="G198" s="22">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277</v>
      </c>
      <c r="C199" t="s">
        <v>58</v>
      </c>
      <c r="D199">
        <v>63</v>
      </c>
      <c r="E199" s="17" t="s">
        <v>32</v>
      </c>
      <c r="F199" s="18">
        <v>44995</v>
      </c>
      <c r="G199" s="22">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278</v>
      </c>
      <c r="C200" t="s">
        <v>64</v>
      </c>
      <c r="D200">
        <v>105</v>
      </c>
      <c r="E200" s="17" t="s">
        <v>30</v>
      </c>
      <c r="F200" s="18">
        <v>44995</v>
      </c>
      <c r="G200" s="22">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279</v>
      </c>
      <c r="C201" t="s">
        <v>58</v>
      </c>
      <c r="D201">
        <v>71</v>
      </c>
      <c r="E201" s="17" t="s">
        <v>32</v>
      </c>
      <c r="F201" s="18">
        <v>44995</v>
      </c>
      <c r="G201" s="22">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280</v>
      </c>
      <c r="C202" t="s">
        <v>54</v>
      </c>
      <c r="D202">
        <v>100</v>
      </c>
      <c r="E202" s="17" t="s">
        <v>32</v>
      </c>
      <c r="F202" s="18">
        <v>44996</v>
      </c>
      <c r="G202" s="2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281</v>
      </c>
      <c r="C203" t="s">
        <v>53</v>
      </c>
      <c r="D203">
        <v>93</v>
      </c>
      <c r="E203" s="17" t="s">
        <v>22</v>
      </c>
      <c r="F203" s="18">
        <v>44996</v>
      </c>
      <c r="G203" s="22">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282</v>
      </c>
      <c r="C204" t="s">
        <v>64</v>
      </c>
      <c r="D204">
        <v>84</v>
      </c>
      <c r="E204" s="17" t="s">
        <v>33</v>
      </c>
      <c r="F204" s="18">
        <v>44996</v>
      </c>
      <c r="G204" s="22">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283</v>
      </c>
      <c r="C205" t="s">
        <v>63</v>
      </c>
      <c r="D205">
        <v>56</v>
      </c>
      <c r="E205" s="17" t="s">
        <v>31</v>
      </c>
      <c r="F205" s="18">
        <v>44996</v>
      </c>
      <c r="G205" s="22">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284</v>
      </c>
      <c r="C206" t="s">
        <v>63</v>
      </c>
      <c r="D206">
        <v>63</v>
      </c>
      <c r="E206" s="17" t="s">
        <v>32</v>
      </c>
      <c r="F206" s="18">
        <v>44996</v>
      </c>
      <c r="G206" s="22">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285</v>
      </c>
      <c r="C207" t="s">
        <v>66</v>
      </c>
      <c r="D207">
        <v>83</v>
      </c>
      <c r="E207" s="17" t="s">
        <v>32</v>
      </c>
      <c r="F207" s="18">
        <v>44996</v>
      </c>
      <c r="G207" s="22">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286</v>
      </c>
      <c r="C208" t="s">
        <v>61</v>
      </c>
      <c r="D208">
        <v>134</v>
      </c>
      <c r="E208" s="17" t="s">
        <v>33</v>
      </c>
      <c r="F208" s="18">
        <v>44996</v>
      </c>
      <c r="G208" s="22">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287</v>
      </c>
      <c r="C209" t="s">
        <v>55</v>
      </c>
      <c r="D209">
        <v>73</v>
      </c>
      <c r="E209" s="17" t="s">
        <v>32</v>
      </c>
      <c r="F209" s="18">
        <v>44997</v>
      </c>
      <c r="G209" s="22">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288</v>
      </c>
      <c r="C210" t="s">
        <v>59</v>
      </c>
      <c r="D210">
        <v>6</v>
      </c>
      <c r="E210" s="17" t="s">
        <v>31</v>
      </c>
      <c r="F210" s="18">
        <v>44997</v>
      </c>
      <c r="G210" s="22">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289</v>
      </c>
      <c r="C211" t="s">
        <v>56</v>
      </c>
      <c r="D211">
        <v>46</v>
      </c>
      <c r="E211" s="17" t="s">
        <v>30</v>
      </c>
      <c r="F211" s="18">
        <v>44997</v>
      </c>
      <c r="G211" s="22">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290</v>
      </c>
      <c r="C212" t="s">
        <v>59</v>
      </c>
      <c r="D212">
        <v>121</v>
      </c>
      <c r="E212" s="17" t="s">
        <v>32</v>
      </c>
      <c r="F212" s="18">
        <v>44998</v>
      </c>
      <c r="G212" s="2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291</v>
      </c>
      <c r="C213" t="s">
        <v>63</v>
      </c>
      <c r="D213">
        <v>61</v>
      </c>
      <c r="E213" s="17" t="s">
        <v>22</v>
      </c>
      <c r="F213" s="18">
        <v>44998</v>
      </c>
      <c r="G213" s="22">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292</v>
      </c>
      <c r="C214" t="s">
        <v>61</v>
      </c>
      <c r="D214">
        <v>144</v>
      </c>
      <c r="E214" s="17" t="s">
        <v>33</v>
      </c>
      <c r="F214" s="18">
        <v>44998</v>
      </c>
      <c r="G214" s="22">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293</v>
      </c>
      <c r="C215" t="s">
        <v>56</v>
      </c>
      <c r="D215">
        <v>145</v>
      </c>
      <c r="E215" s="17" t="s">
        <v>33</v>
      </c>
      <c r="F215" s="18">
        <v>44998</v>
      </c>
      <c r="G215" s="22">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294</v>
      </c>
      <c r="C216" t="s">
        <v>64</v>
      </c>
      <c r="D216">
        <v>85</v>
      </c>
      <c r="E216" s="17" t="s">
        <v>31</v>
      </c>
      <c r="F216" s="18">
        <v>44998</v>
      </c>
      <c r="G216" s="22">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295</v>
      </c>
      <c r="C217" t="s">
        <v>56</v>
      </c>
      <c r="D217">
        <v>13</v>
      </c>
      <c r="E217" s="17" t="s">
        <v>22</v>
      </c>
      <c r="F217" s="18">
        <v>44999</v>
      </c>
      <c r="G217" s="22">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296</v>
      </c>
      <c r="C218" t="s">
        <v>53</v>
      </c>
      <c r="D218">
        <v>142</v>
      </c>
      <c r="E218" s="17" t="s">
        <v>32</v>
      </c>
      <c r="F218" s="18">
        <v>44999</v>
      </c>
      <c r="G218" s="22">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297</v>
      </c>
      <c r="C219" t="s">
        <v>61</v>
      </c>
      <c r="D219">
        <v>28</v>
      </c>
      <c r="E219" s="17" t="s">
        <v>30</v>
      </c>
      <c r="F219" s="18">
        <v>44999</v>
      </c>
      <c r="G219" s="22">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298</v>
      </c>
      <c r="C220" t="s">
        <v>61</v>
      </c>
      <c r="D220">
        <v>119</v>
      </c>
      <c r="E220" s="17" t="s">
        <v>32</v>
      </c>
      <c r="F220" s="18">
        <v>44999</v>
      </c>
      <c r="G220" s="22">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299</v>
      </c>
      <c r="C221" t="s">
        <v>59</v>
      </c>
      <c r="D221">
        <v>65</v>
      </c>
      <c r="E221" s="17" t="s">
        <v>31</v>
      </c>
      <c r="F221" s="18">
        <v>44999</v>
      </c>
      <c r="G221" s="22">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300</v>
      </c>
      <c r="C222" t="s">
        <v>57</v>
      </c>
      <c r="D222">
        <v>68</v>
      </c>
      <c r="E222" s="17" t="s">
        <v>31</v>
      </c>
      <c r="F222" s="18">
        <v>44999</v>
      </c>
      <c r="G222" s="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301</v>
      </c>
      <c r="C223" t="s">
        <v>66</v>
      </c>
      <c r="D223">
        <v>72</v>
      </c>
      <c r="E223" s="17" t="s">
        <v>30</v>
      </c>
      <c r="F223" s="18">
        <v>44999</v>
      </c>
      <c r="G223" s="22">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302</v>
      </c>
      <c r="C224" t="s">
        <v>66</v>
      </c>
      <c r="D224">
        <v>63</v>
      </c>
      <c r="E224" s="17" t="s">
        <v>33</v>
      </c>
      <c r="F224" s="18">
        <v>44999</v>
      </c>
      <c r="G224" s="22">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303</v>
      </c>
      <c r="C225" t="s">
        <v>54</v>
      </c>
      <c r="D225">
        <v>139</v>
      </c>
      <c r="E225" s="17" t="s">
        <v>32</v>
      </c>
      <c r="F225" s="18">
        <v>45000</v>
      </c>
      <c r="G225" s="22">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304</v>
      </c>
      <c r="C226" t="s">
        <v>61</v>
      </c>
      <c r="D226">
        <v>59</v>
      </c>
      <c r="E226" s="17" t="s">
        <v>32</v>
      </c>
      <c r="F226" s="18">
        <v>45000</v>
      </c>
      <c r="G226" s="22">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305</v>
      </c>
      <c r="C227" t="s">
        <v>65</v>
      </c>
      <c r="D227">
        <v>138</v>
      </c>
      <c r="E227" s="17" t="s">
        <v>33</v>
      </c>
      <c r="F227" s="18">
        <v>45000</v>
      </c>
      <c r="G227" s="22">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306</v>
      </c>
      <c r="C228" t="s">
        <v>54</v>
      </c>
      <c r="D228">
        <v>47</v>
      </c>
      <c r="E228" s="17" t="s">
        <v>30</v>
      </c>
      <c r="F228" s="18">
        <v>45000</v>
      </c>
      <c r="G228" s="22">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307</v>
      </c>
      <c r="C229" t="s">
        <v>65</v>
      </c>
      <c r="D229">
        <v>74</v>
      </c>
      <c r="E229" s="17" t="s">
        <v>30</v>
      </c>
      <c r="F229" s="18">
        <v>45000</v>
      </c>
      <c r="G229" s="22">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308</v>
      </c>
      <c r="C230" t="s">
        <v>66</v>
      </c>
      <c r="D230">
        <v>65</v>
      </c>
      <c r="E230" s="17" t="s">
        <v>30</v>
      </c>
      <c r="F230" s="18">
        <v>45000</v>
      </c>
      <c r="G230" s="22">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309</v>
      </c>
      <c r="C231" t="s">
        <v>55</v>
      </c>
      <c r="D231">
        <v>123</v>
      </c>
      <c r="E231" s="17" t="s">
        <v>31</v>
      </c>
      <c r="F231" s="18">
        <v>45000</v>
      </c>
      <c r="G231" s="22">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310</v>
      </c>
      <c r="C232" t="s">
        <v>66</v>
      </c>
      <c r="D232">
        <v>90</v>
      </c>
      <c r="E232" s="17" t="s">
        <v>32</v>
      </c>
      <c r="F232" s="18">
        <v>45001</v>
      </c>
      <c r="G232" s="2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311</v>
      </c>
      <c r="C233" t="s">
        <v>63</v>
      </c>
      <c r="D233">
        <v>127</v>
      </c>
      <c r="E233" s="17" t="s">
        <v>33</v>
      </c>
      <c r="F233" s="18">
        <v>45001</v>
      </c>
      <c r="G233" s="22">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312</v>
      </c>
      <c r="C234" t="s">
        <v>67</v>
      </c>
      <c r="D234">
        <v>60</v>
      </c>
      <c r="E234" s="17" t="s">
        <v>30</v>
      </c>
      <c r="F234" s="18">
        <v>45001</v>
      </c>
      <c r="G234" s="22">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313</v>
      </c>
      <c r="C235" t="s">
        <v>54</v>
      </c>
      <c r="D235">
        <v>94</v>
      </c>
      <c r="E235" s="17" t="s">
        <v>33</v>
      </c>
      <c r="F235" s="18">
        <v>45001</v>
      </c>
      <c r="G235" s="22">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314</v>
      </c>
      <c r="C236" t="s">
        <v>55</v>
      </c>
      <c r="D236">
        <v>54</v>
      </c>
      <c r="E236" s="17" t="s">
        <v>30</v>
      </c>
      <c r="F236" s="18">
        <v>45001</v>
      </c>
      <c r="G236" s="22">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315</v>
      </c>
      <c r="C237" t="s">
        <v>66</v>
      </c>
      <c r="D237">
        <v>104</v>
      </c>
      <c r="E237" s="17" t="s">
        <v>30</v>
      </c>
      <c r="F237" s="18">
        <v>45001</v>
      </c>
      <c r="G237" s="22">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316</v>
      </c>
      <c r="C238" t="s">
        <v>58</v>
      </c>
      <c r="D238">
        <v>100</v>
      </c>
      <c r="E238" s="17" t="s">
        <v>30</v>
      </c>
      <c r="F238" s="18">
        <v>45001</v>
      </c>
      <c r="G238" s="22">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317</v>
      </c>
      <c r="C239" t="s">
        <v>65</v>
      </c>
      <c r="D239">
        <v>84</v>
      </c>
      <c r="E239" s="17" t="s">
        <v>30</v>
      </c>
      <c r="F239" s="18">
        <v>45001</v>
      </c>
      <c r="G239" s="22">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318</v>
      </c>
      <c r="C240" t="s">
        <v>53</v>
      </c>
      <c r="D240">
        <v>92</v>
      </c>
      <c r="E240" s="17" t="s">
        <v>22</v>
      </c>
      <c r="F240" s="18">
        <v>45002</v>
      </c>
      <c r="G240" s="22">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319</v>
      </c>
      <c r="C241" t="s">
        <v>60</v>
      </c>
      <c r="D241">
        <v>64</v>
      </c>
      <c r="E241" s="17" t="s">
        <v>33</v>
      </c>
      <c r="F241" s="18">
        <v>45002</v>
      </c>
      <c r="G241" s="22">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320</v>
      </c>
      <c r="C242" t="s">
        <v>64</v>
      </c>
      <c r="D242">
        <v>89</v>
      </c>
      <c r="E242" s="17" t="s">
        <v>32</v>
      </c>
      <c r="F242" s="18">
        <v>45003</v>
      </c>
      <c r="G242" s="2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321</v>
      </c>
      <c r="C243" t="s">
        <v>62</v>
      </c>
      <c r="D243">
        <v>40</v>
      </c>
      <c r="E243" s="17" t="s">
        <v>30</v>
      </c>
      <c r="F243" s="18">
        <v>45003</v>
      </c>
      <c r="G243" s="22">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322</v>
      </c>
      <c r="C244" t="s">
        <v>61</v>
      </c>
      <c r="D244">
        <v>75</v>
      </c>
      <c r="E244" s="17" t="s">
        <v>31</v>
      </c>
      <c r="F244" s="18">
        <v>45003</v>
      </c>
      <c r="G244" s="22">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323</v>
      </c>
      <c r="C245" t="s">
        <v>63</v>
      </c>
      <c r="D245">
        <v>106</v>
      </c>
      <c r="E245" s="17" t="s">
        <v>22</v>
      </c>
      <c r="F245" s="18">
        <v>45003</v>
      </c>
      <c r="G245" s="22">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324</v>
      </c>
      <c r="C246" t="s">
        <v>60</v>
      </c>
      <c r="D246">
        <v>58</v>
      </c>
      <c r="E246" s="17" t="s">
        <v>30</v>
      </c>
      <c r="F246" s="18">
        <v>45004</v>
      </c>
      <c r="G246" s="22">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325</v>
      </c>
      <c r="C247" t="s">
        <v>65</v>
      </c>
      <c r="D247">
        <v>84</v>
      </c>
      <c r="E247" s="17" t="s">
        <v>22</v>
      </c>
      <c r="F247" s="18">
        <v>45004</v>
      </c>
      <c r="G247" s="22">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326</v>
      </c>
      <c r="C248" t="s">
        <v>66</v>
      </c>
      <c r="D248">
        <v>140</v>
      </c>
      <c r="E248" s="17" t="s">
        <v>22</v>
      </c>
      <c r="F248" s="18">
        <v>45004</v>
      </c>
      <c r="G248" s="22">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327</v>
      </c>
      <c r="C249" t="s">
        <v>60</v>
      </c>
      <c r="D249">
        <v>67</v>
      </c>
      <c r="E249" s="17" t="s">
        <v>22</v>
      </c>
      <c r="F249" s="18">
        <v>45004</v>
      </c>
      <c r="G249" s="22">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328</v>
      </c>
      <c r="C250" t="s">
        <v>54</v>
      </c>
      <c r="D250">
        <v>126</v>
      </c>
      <c r="E250" s="17" t="s">
        <v>22</v>
      </c>
      <c r="F250" s="18">
        <v>45005</v>
      </c>
      <c r="G250" s="22">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329</v>
      </c>
      <c r="C251" t="s">
        <v>54</v>
      </c>
      <c r="D251">
        <v>89</v>
      </c>
      <c r="E251" s="17" t="s">
        <v>30</v>
      </c>
      <c r="F251" s="18">
        <v>45005</v>
      </c>
      <c r="G251" s="22">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330</v>
      </c>
      <c r="C252" t="s">
        <v>64</v>
      </c>
      <c r="D252">
        <v>56</v>
      </c>
      <c r="E252" s="17" t="s">
        <v>33</v>
      </c>
      <c r="F252" s="18">
        <v>45005</v>
      </c>
      <c r="G252" s="2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331</v>
      </c>
      <c r="C253" t="s">
        <v>55</v>
      </c>
      <c r="D253">
        <v>48</v>
      </c>
      <c r="E253" s="17" t="s">
        <v>30</v>
      </c>
      <c r="F253" s="18">
        <v>45005</v>
      </c>
      <c r="G253" s="22">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332</v>
      </c>
      <c r="C254" t="s">
        <v>54</v>
      </c>
      <c r="D254">
        <v>55</v>
      </c>
      <c r="E254" s="17" t="s">
        <v>33</v>
      </c>
      <c r="F254" s="18">
        <v>45005</v>
      </c>
      <c r="G254" s="22">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333</v>
      </c>
      <c r="C255" t="s">
        <v>67</v>
      </c>
      <c r="D255">
        <v>88</v>
      </c>
      <c r="E255" s="17" t="s">
        <v>31</v>
      </c>
      <c r="F255" s="18">
        <v>45005</v>
      </c>
      <c r="G255" s="22">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334</v>
      </c>
      <c r="C256" t="s">
        <v>64</v>
      </c>
      <c r="D256">
        <v>102</v>
      </c>
      <c r="E256" s="17" t="s">
        <v>22</v>
      </c>
      <c r="F256" s="18">
        <v>45006</v>
      </c>
      <c r="G256" s="22">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335</v>
      </c>
      <c r="C257" t="s">
        <v>67</v>
      </c>
      <c r="D257">
        <v>155</v>
      </c>
      <c r="E257" s="17" t="s">
        <v>31</v>
      </c>
      <c r="F257" s="18">
        <v>45006</v>
      </c>
      <c r="G257" s="22">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336</v>
      </c>
      <c r="C258" t="s">
        <v>54</v>
      </c>
      <c r="D258">
        <v>63</v>
      </c>
      <c r="E258" s="17" t="s">
        <v>31</v>
      </c>
      <c r="F258" s="18">
        <v>45006</v>
      </c>
      <c r="G258" s="22">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337</v>
      </c>
      <c r="C259" t="s">
        <v>58</v>
      </c>
      <c r="D259">
        <v>59</v>
      </c>
      <c r="E259" s="17" t="s">
        <v>22</v>
      </c>
      <c r="F259" s="18">
        <v>45006</v>
      </c>
      <c r="G259" s="22">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338</v>
      </c>
      <c r="C260" t="s">
        <v>58</v>
      </c>
      <c r="D260">
        <v>144</v>
      </c>
      <c r="E260" s="17" t="s">
        <v>30</v>
      </c>
      <c r="F260" s="18">
        <v>45006</v>
      </c>
      <c r="G260" s="22">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339</v>
      </c>
      <c r="C261" t="s">
        <v>65</v>
      </c>
      <c r="D261">
        <v>113</v>
      </c>
      <c r="E261" s="17" t="s">
        <v>32</v>
      </c>
      <c r="F261" s="18">
        <v>45006</v>
      </c>
      <c r="G261" s="22">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340</v>
      </c>
      <c r="C262" t="s">
        <v>56</v>
      </c>
      <c r="D262">
        <v>154</v>
      </c>
      <c r="E262" s="17" t="s">
        <v>33</v>
      </c>
      <c r="F262" s="18">
        <v>45006</v>
      </c>
      <c r="G262" s="2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341</v>
      </c>
      <c r="C263" t="s">
        <v>56</v>
      </c>
      <c r="D263">
        <v>58</v>
      </c>
      <c r="E263" s="17" t="s">
        <v>22</v>
      </c>
      <c r="F263" s="18">
        <v>45007</v>
      </c>
      <c r="G263" s="22">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342</v>
      </c>
      <c r="C264" t="s">
        <v>55</v>
      </c>
      <c r="D264">
        <v>63</v>
      </c>
      <c r="E264" s="17" t="s">
        <v>31</v>
      </c>
      <c r="F264" s="18">
        <v>45007</v>
      </c>
      <c r="G264" s="22">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343</v>
      </c>
      <c r="C265" t="s">
        <v>66</v>
      </c>
      <c r="D265">
        <v>59</v>
      </c>
      <c r="E265" s="17" t="s">
        <v>30</v>
      </c>
      <c r="F265" s="18">
        <v>45007</v>
      </c>
      <c r="G265" s="22">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344</v>
      </c>
      <c r="C266" t="s">
        <v>59</v>
      </c>
      <c r="D266">
        <v>129</v>
      </c>
      <c r="E266" s="17" t="s">
        <v>31</v>
      </c>
      <c r="F266" s="18">
        <v>45007</v>
      </c>
      <c r="G266" s="22">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345</v>
      </c>
      <c r="C267" t="s">
        <v>57</v>
      </c>
      <c r="D267">
        <v>101</v>
      </c>
      <c r="E267" s="17" t="s">
        <v>32</v>
      </c>
      <c r="F267" s="18">
        <v>45007</v>
      </c>
      <c r="G267" s="22">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346</v>
      </c>
      <c r="C268" t="s">
        <v>62</v>
      </c>
      <c r="D268">
        <v>154</v>
      </c>
      <c r="E268" s="17" t="s">
        <v>30</v>
      </c>
      <c r="F268" s="18">
        <v>45007</v>
      </c>
      <c r="G268" s="22">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347</v>
      </c>
      <c r="C269" t="s">
        <v>60</v>
      </c>
      <c r="D269">
        <v>131</v>
      </c>
      <c r="E269" s="17" t="s">
        <v>30</v>
      </c>
      <c r="F269" s="18">
        <v>45007</v>
      </c>
      <c r="G269" s="22">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348</v>
      </c>
      <c r="C270" t="s">
        <v>58</v>
      </c>
      <c r="D270">
        <v>111</v>
      </c>
      <c r="E270" s="17" t="s">
        <v>32</v>
      </c>
      <c r="F270" s="18">
        <v>45008</v>
      </c>
      <c r="G270" s="22">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349</v>
      </c>
      <c r="C271" t="s">
        <v>56</v>
      </c>
      <c r="D271">
        <v>142</v>
      </c>
      <c r="E271" s="17" t="s">
        <v>32</v>
      </c>
      <c r="F271" s="18">
        <v>45009</v>
      </c>
      <c r="G271" s="22">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350</v>
      </c>
      <c r="C272" t="s">
        <v>64</v>
      </c>
      <c r="D272">
        <v>93</v>
      </c>
      <c r="E272" s="17" t="s">
        <v>31</v>
      </c>
      <c r="F272" s="18">
        <v>45009</v>
      </c>
      <c r="G272" s="2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351</v>
      </c>
      <c r="C273" t="s">
        <v>56</v>
      </c>
      <c r="D273">
        <v>125</v>
      </c>
      <c r="E273" s="17" t="s">
        <v>33</v>
      </c>
      <c r="F273" s="18">
        <v>45010</v>
      </c>
      <c r="G273" s="22">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352</v>
      </c>
      <c r="C274" t="s">
        <v>59</v>
      </c>
      <c r="D274">
        <v>76</v>
      </c>
      <c r="E274" s="17" t="s">
        <v>30</v>
      </c>
      <c r="F274" s="18">
        <v>45010</v>
      </c>
      <c r="G274" s="22">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353</v>
      </c>
      <c r="C275" t="s">
        <v>65</v>
      </c>
      <c r="D275">
        <v>69</v>
      </c>
      <c r="E275" s="17" t="s">
        <v>31</v>
      </c>
      <c r="F275" s="18">
        <v>45010</v>
      </c>
      <c r="G275" s="22">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354</v>
      </c>
      <c r="C276" t="s">
        <v>66</v>
      </c>
      <c r="D276">
        <v>149</v>
      </c>
      <c r="E276" s="17" t="s">
        <v>33</v>
      </c>
      <c r="F276" s="18">
        <v>45010</v>
      </c>
      <c r="G276" s="22">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355</v>
      </c>
      <c r="C277" t="s">
        <v>56</v>
      </c>
      <c r="D277">
        <v>57</v>
      </c>
      <c r="E277" s="17" t="s">
        <v>31</v>
      </c>
      <c r="F277" s="18">
        <v>45010</v>
      </c>
      <c r="G277" s="22">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356</v>
      </c>
      <c r="C278" t="s">
        <v>54</v>
      </c>
      <c r="D278">
        <v>113</v>
      </c>
      <c r="E278" s="17" t="s">
        <v>30</v>
      </c>
      <c r="F278" s="18">
        <v>45010</v>
      </c>
      <c r="G278" s="22">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357</v>
      </c>
      <c r="C279" t="s">
        <v>53</v>
      </c>
      <c r="D279">
        <v>160</v>
      </c>
      <c r="E279" s="17" t="s">
        <v>33</v>
      </c>
      <c r="F279" s="18">
        <v>45010</v>
      </c>
      <c r="G279" s="22">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358</v>
      </c>
      <c r="C280" t="s">
        <v>55</v>
      </c>
      <c r="D280">
        <v>158</v>
      </c>
      <c r="E280" s="17" t="s">
        <v>22</v>
      </c>
      <c r="F280" s="18">
        <v>45010</v>
      </c>
      <c r="G280" s="22">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359</v>
      </c>
      <c r="C281" t="s">
        <v>65</v>
      </c>
      <c r="D281">
        <v>77</v>
      </c>
      <c r="E281" s="17" t="s">
        <v>33</v>
      </c>
      <c r="F281" s="18">
        <v>45011</v>
      </c>
      <c r="G281" s="22">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360</v>
      </c>
      <c r="C282" t="s">
        <v>61</v>
      </c>
      <c r="D282">
        <v>118</v>
      </c>
      <c r="E282" s="17" t="s">
        <v>32</v>
      </c>
      <c r="F282" s="18">
        <v>45011</v>
      </c>
      <c r="G282" s="2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361</v>
      </c>
      <c r="C283" t="s">
        <v>62</v>
      </c>
      <c r="D283">
        <v>75</v>
      </c>
      <c r="E283" s="17" t="s">
        <v>30</v>
      </c>
      <c r="F283" s="18">
        <v>45011</v>
      </c>
      <c r="G283" s="22">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362</v>
      </c>
      <c r="C284" t="s">
        <v>54</v>
      </c>
      <c r="D284">
        <v>103</v>
      </c>
      <c r="E284" s="17" t="s">
        <v>33</v>
      </c>
      <c r="F284" s="18">
        <v>45011</v>
      </c>
      <c r="G284" s="22">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363</v>
      </c>
      <c r="C285" t="s">
        <v>65</v>
      </c>
      <c r="D285">
        <v>116</v>
      </c>
      <c r="E285" s="17" t="s">
        <v>32</v>
      </c>
      <c r="F285" s="18">
        <v>45012</v>
      </c>
      <c r="G285" s="22">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364</v>
      </c>
      <c r="C286" t="s">
        <v>58</v>
      </c>
      <c r="D286">
        <v>61</v>
      </c>
      <c r="E286" s="17" t="s">
        <v>22</v>
      </c>
      <c r="F286" s="18">
        <v>45012</v>
      </c>
      <c r="G286" s="22">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365</v>
      </c>
      <c r="C287" t="s">
        <v>56</v>
      </c>
      <c r="D287">
        <v>126</v>
      </c>
      <c r="E287" s="17" t="s">
        <v>30</v>
      </c>
      <c r="F287" s="18">
        <v>45012</v>
      </c>
      <c r="G287" s="22">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366</v>
      </c>
      <c r="C288" t="s">
        <v>57</v>
      </c>
      <c r="D288">
        <v>141</v>
      </c>
      <c r="E288" s="17" t="s">
        <v>31</v>
      </c>
      <c r="F288" s="18">
        <v>45012</v>
      </c>
      <c r="G288" s="22">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367</v>
      </c>
      <c r="C289" t="s">
        <v>55</v>
      </c>
      <c r="D289">
        <v>95</v>
      </c>
      <c r="E289" s="17" t="s">
        <v>32</v>
      </c>
      <c r="F289" s="18">
        <v>45012</v>
      </c>
      <c r="G289" s="22">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368</v>
      </c>
      <c r="C290" t="s">
        <v>62</v>
      </c>
      <c r="D290">
        <v>39</v>
      </c>
      <c r="E290" s="17" t="s">
        <v>22</v>
      </c>
      <c r="F290" s="18">
        <v>45013</v>
      </c>
      <c r="G290" s="22">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369</v>
      </c>
      <c r="C291" t="s">
        <v>54</v>
      </c>
      <c r="D291">
        <v>127</v>
      </c>
      <c r="E291" s="17" t="s">
        <v>30</v>
      </c>
      <c r="F291" s="18">
        <v>45013</v>
      </c>
      <c r="G291" s="22">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370</v>
      </c>
      <c r="C292" t="s">
        <v>58</v>
      </c>
      <c r="D292">
        <v>78</v>
      </c>
      <c r="E292" s="17" t="s">
        <v>30</v>
      </c>
      <c r="F292" s="18">
        <v>45013</v>
      </c>
      <c r="G292" s="2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371</v>
      </c>
      <c r="C293" t="s">
        <v>61</v>
      </c>
      <c r="D293">
        <v>40</v>
      </c>
      <c r="E293" s="17" t="s">
        <v>30</v>
      </c>
      <c r="F293" s="18">
        <v>45013</v>
      </c>
      <c r="G293" s="22">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372</v>
      </c>
      <c r="C294" t="s">
        <v>58</v>
      </c>
      <c r="D294">
        <v>56</v>
      </c>
      <c r="E294" s="17" t="s">
        <v>22</v>
      </c>
      <c r="F294" s="18">
        <v>45013</v>
      </c>
      <c r="G294" s="22">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373</v>
      </c>
      <c r="C295" t="s">
        <v>62</v>
      </c>
      <c r="D295">
        <v>59</v>
      </c>
      <c r="E295" s="17" t="s">
        <v>31</v>
      </c>
      <c r="F295" s="18">
        <v>45013</v>
      </c>
      <c r="G295" s="22">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374</v>
      </c>
      <c r="C296" t="s">
        <v>56</v>
      </c>
      <c r="D296">
        <v>30</v>
      </c>
      <c r="E296" s="17" t="s">
        <v>30</v>
      </c>
      <c r="F296" s="18">
        <v>45013</v>
      </c>
      <c r="G296" s="22">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375</v>
      </c>
      <c r="C297" t="s">
        <v>61</v>
      </c>
      <c r="D297">
        <v>63</v>
      </c>
      <c r="E297" s="17" t="s">
        <v>33</v>
      </c>
      <c r="F297" s="18">
        <v>45014</v>
      </c>
      <c r="G297" s="22">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376</v>
      </c>
      <c r="C298" t="s">
        <v>64</v>
      </c>
      <c r="D298">
        <v>56</v>
      </c>
      <c r="E298" s="17" t="s">
        <v>32</v>
      </c>
      <c r="F298" s="18">
        <v>45014</v>
      </c>
      <c r="G298" s="22">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377</v>
      </c>
      <c r="C299" t="s">
        <v>59</v>
      </c>
      <c r="D299">
        <v>95</v>
      </c>
      <c r="E299" s="17" t="s">
        <v>33</v>
      </c>
      <c r="F299" s="18">
        <v>45014</v>
      </c>
      <c r="G299" s="22">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378</v>
      </c>
      <c r="C300" t="s">
        <v>63</v>
      </c>
      <c r="D300">
        <v>128</v>
      </c>
      <c r="E300" s="17" t="s">
        <v>31</v>
      </c>
      <c r="F300" s="18">
        <v>45014</v>
      </c>
      <c r="G300" s="22">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379</v>
      </c>
      <c r="C301" t="s">
        <v>55</v>
      </c>
      <c r="D301">
        <v>49</v>
      </c>
      <c r="E301" s="17" t="s">
        <v>33</v>
      </c>
      <c r="F301" s="18">
        <v>45014</v>
      </c>
      <c r="G301" s="22">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380</v>
      </c>
      <c r="C302" t="s">
        <v>63</v>
      </c>
      <c r="D302">
        <v>89</v>
      </c>
      <c r="E302" s="17" t="s">
        <v>22</v>
      </c>
      <c r="F302" s="18">
        <v>45016</v>
      </c>
      <c r="G302" s="2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381</v>
      </c>
      <c r="C303" t="s">
        <v>66</v>
      </c>
      <c r="D303">
        <v>87</v>
      </c>
      <c r="E303" s="17" t="s">
        <v>33</v>
      </c>
      <c r="F303" s="18">
        <v>45016</v>
      </c>
      <c r="G303" s="22">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382</v>
      </c>
      <c r="C304" t="s">
        <v>53</v>
      </c>
      <c r="D304">
        <v>60</v>
      </c>
      <c r="E304" s="17" t="s">
        <v>30</v>
      </c>
      <c r="F304" s="18">
        <v>45017</v>
      </c>
      <c r="G304" s="22">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383</v>
      </c>
      <c r="C305" t="s">
        <v>67</v>
      </c>
      <c r="D305">
        <v>42</v>
      </c>
      <c r="E305" s="17" t="s">
        <v>22</v>
      </c>
      <c r="F305" s="18">
        <v>45017</v>
      </c>
      <c r="G305" s="22">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384</v>
      </c>
      <c r="C306" t="s">
        <v>60</v>
      </c>
      <c r="D306">
        <v>99</v>
      </c>
      <c r="E306" s="17" t="s">
        <v>30</v>
      </c>
      <c r="F306" s="18">
        <v>45017</v>
      </c>
      <c r="G306" s="22">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385</v>
      </c>
      <c r="C307" t="s">
        <v>64</v>
      </c>
      <c r="D307">
        <v>20</v>
      </c>
      <c r="E307" s="17" t="s">
        <v>22</v>
      </c>
      <c r="F307" s="18">
        <v>45017</v>
      </c>
      <c r="G307" s="22">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386</v>
      </c>
      <c r="C308" t="s">
        <v>61</v>
      </c>
      <c r="D308">
        <v>65</v>
      </c>
      <c r="E308" s="17" t="s">
        <v>30</v>
      </c>
      <c r="F308" s="18">
        <v>45017</v>
      </c>
      <c r="G308" s="22">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387</v>
      </c>
      <c r="C309" t="s">
        <v>56</v>
      </c>
      <c r="D309">
        <v>71</v>
      </c>
      <c r="E309" s="17" t="s">
        <v>33</v>
      </c>
      <c r="F309" s="18">
        <v>45018</v>
      </c>
      <c r="G309" s="22">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388</v>
      </c>
      <c r="C310" t="s">
        <v>54</v>
      </c>
      <c r="D310">
        <v>95</v>
      </c>
      <c r="E310" s="17" t="s">
        <v>31</v>
      </c>
      <c r="F310" s="18">
        <v>45018</v>
      </c>
      <c r="G310" s="22">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389</v>
      </c>
      <c r="C311" t="s">
        <v>64</v>
      </c>
      <c r="D311">
        <v>81</v>
      </c>
      <c r="E311" s="17" t="s">
        <v>32</v>
      </c>
      <c r="F311" s="18">
        <v>45019</v>
      </c>
      <c r="G311" s="22">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390</v>
      </c>
      <c r="C312" t="s">
        <v>65</v>
      </c>
      <c r="D312">
        <v>137</v>
      </c>
      <c r="E312" s="17" t="s">
        <v>32</v>
      </c>
      <c r="F312" s="18">
        <v>45019</v>
      </c>
      <c r="G312" s="2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391</v>
      </c>
      <c r="C313" t="s">
        <v>65</v>
      </c>
      <c r="D313">
        <v>40</v>
      </c>
      <c r="E313" s="17" t="s">
        <v>31</v>
      </c>
      <c r="F313" s="18">
        <v>45019</v>
      </c>
      <c r="G313" s="22">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392</v>
      </c>
      <c r="C314" t="s">
        <v>60</v>
      </c>
      <c r="D314">
        <v>111</v>
      </c>
      <c r="E314" s="17" t="s">
        <v>30</v>
      </c>
      <c r="F314" s="18">
        <v>45020</v>
      </c>
      <c r="G314" s="22">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393</v>
      </c>
      <c r="C315" t="s">
        <v>56</v>
      </c>
      <c r="D315">
        <v>106</v>
      </c>
      <c r="E315" s="17" t="s">
        <v>30</v>
      </c>
      <c r="F315" s="18">
        <v>45020</v>
      </c>
      <c r="G315" s="22">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394</v>
      </c>
      <c r="C316" t="s">
        <v>67</v>
      </c>
      <c r="D316">
        <v>133</v>
      </c>
      <c r="E316" s="17" t="s">
        <v>22</v>
      </c>
      <c r="F316" s="18">
        <v>45020</v>
      </c>
      <c r="G316" s="22">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395</v>
      </c>
      <c r="C317" t="s">
        <v>58</v>
      </c>
      <c r="D317">
        <v>38</v>
      </c>
      <c r="E317" s="17" t="s">
        <v>30</v>
      </c>
      <c r="F317" s="18">
        <v>45021</v>
      </c>
      <c r="G317" s="22">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396</v>
      </c>
      <c r="C318" t="s">
        <v>62</v>
      </c>
      <c r="D318">
        <v>130</v>
      </c>
      <c r="E318" s="17" t="s">
        <v>31</v>
      </c>
      <c r="F318" s="18">
        <v>45021</v>
      </c>
      <c r="G318" s="22">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397</v>
      </c>
      <c r="C319" t="s">
        <v>61</v>
      </c>
      <c r="D319">
        <v>23</v>
      </c>
      <c r="E319" s="17" t="s">
        <v>22</v>
      </c>
      <c r="F319" s="18">
        <v>45021</v>
      </c>
      <c r="G319" s="22">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398</v>
      </c>
      <c r="C320" t="s">
        <v>62</v>
      </c>
      <c r="D320">
        <v>124</v>
      </c>
      <c r="E320" s="17" t="s">
        <v>30</v>
      </c>
      <c r="F320" s="18">
        <v>45022</v>
      </c>
      <c r="G320" s="22">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399</v>
      </c>
      <c r="C321" t="s">
        <v>64</v>
      </c>
      <c r="D321">
        <v>107</v>
      </c>
      <c r="E321" s="17" t="s">
        <v>30</v>
      </c>
      <c r="F321" s="18">
        <v>45022</v>
      </c>
      <c r="G321" s="22">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400</v>
      </c>
      <c r="C322" t="s">
        <v>65</v>
      </c>
      <c r="D322">
        <v>60</v>
      </c>
      <c r="E322" s="17" t="s">
        <v>33</v>
      </c>
      <c r="F322" s="18">
        <v>45022</v>
      </c>
      <c r="G322" s="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401</v>
      </c>
      <c r="C323" t="s">
        <v>65</v>
      </c>
      <c r="D323">
        <v>158</v>
      </c>
      <c r="E323" s="17" t="s">
        <v>31</v>
      </c>
      <c r="F323" s="18">
        <v>45022</v>
      </c>
      <c r="G323" s="22">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402</v>
      </c>
      <c r="C324" t="s">
        <v>66</v>
      </c>
      <c r="D324">
        <v>110</v>
      </c>
      <c r="E324" s="17" t="s">
        <v>31</v>
      </c>
      <c r="F324" s="18">
        <v>45023</v>
      </c>
      <c r="G324" s="22">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403</v>
      </c>
      <c r="C325" t="s">
        <v>63</v>
      </c>
      <c r="D325">
        <v>70</v>
      </c>
      <c r="E325" s="17" t="s">
        <v>31</v>
      </c>
      <c r="F325" s="18">
        <v>45023</v>
      </c>
      <c r="G325" s="22">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404</v>
      </c>
      <c r="C326" t="s">
        <v>63</v>
      </c>
      <c r="D326">
        <v>150</v>
      </c>
      <c r="E326" s="17" t="s">
        <v>33</v>
      </c>
      <c r="F326" s="18">
        <v>45023</v>
      </c>
      <c r="G326" s="22">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405</v>
      </c>
      <c r="C327" t="s">
        <v>58</v>
      </c>
      <c r="D327">
        <v>36</v>
      </c>
      <c r="E327" s="17" t="s">
        <v>30</v>
      </c>
      <c r="F327" s="18">
        <v>45023</v>
      </c>
      <c r="G327" s="22">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406</v>
      </c>
      <c r="C328" t="s">
        <v>62</v>
      </c>
      <c r="D328">
        <v>74</v>
      </c>
      <c r="E328" s="17" t="s">
        <v>30</v>
      </c>
      <c r="F328" s="18">
        <v>45023</v>
      </c>
      <c r="G328" s="22">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407</v>
      </c>
      <c r="C329" t="s">
        <v>54</v>
      </c>
      <c r="D329">
        <v>75</v>
      </c>
      <c r="E329" s="17" t="s">
        <v>30</v>
      </c>
      <c r="F329" s="18">
        <v>45023</v>
      </c>
      <c r="G329" s="22">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408</v>
      </c>
      <c r="C330" t="s">
        <v>59</v>
      </c>
      <c r="D330">
        <v>70</v>
      </c>
      <c r="E330" s="17" t="s">
        <v>32</v>
      </c>
      <c r="F330" s="18">
        <v>45023</v>
      </c>
      <c r="G330" s="22">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409</v>
      </c>
      <c r="C331" t="s">
        <v>66</v>
      </c>
      <c r="D331">
        <v>23</v>
      </c>
      <c r="E331" s="17" t="s">
        <v>31</v>
      </c>
      <c r="F331" s="18">
        <v>45023</v>
      </c>
      <c r="G331" s="22">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410</v>
      </c>
      <c r="C332" t="s">
        <v>60</v>
      </c>
      <c r="D332">
        <v>104</v>
      </c>
      <c r="E332" s="17" t="s">
        <v>22</v>
      </c>
      <c r="F332" s="18">
        <v>45023</v>
      </c>
      <c r="G332" s="2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411</v>
      </c>
      <c r="C333" t="s">
        <v>63</v>
      </c>
      <c r="D333">
        <v>95</v>
      </c>
      <c r="E333" s="17" t="s">
        <v>32</v>
      </c>
      <c r="F333" s="18">
        <v>45024</v>
      </c>
      <c r="G333" s="22">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412</v>
      </c>
      <c r="C334" t="s">
        <v>55</v>
      </c>
      <c r="D334">
        <v>49</v>
      </c>
      <c r="E334" s="17" t="s">
        <v>33</v>
      </c>
      <c r="F334" s="18">
        <v>45024</v>
      </c>
      <c r="G334" s="22">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413</v>
      </c>
      <c r="C335" t="s">
        <v>56</v>
      </c>
      <c r="D335">
        <v>8</v>
      </c>
      <c r="E335" s="17" t="s">
        <v>31</v>
      </c>
      <c r="F335" s="18">
        <v>45024</v>
      </c>
      <c r="G335" s="22">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414</v>
      </c>
      <c r="C336" t="s">
        <v>63</v>
      </c>
      <c r="D336">
        <v>157</v>
      </c>
      <c r="E336" s="17" t="s">
        <v>33</v>
      </c>
      <c r="F336" s="18">
        <v>45024</v>
      </c>
      <c r="G336" s="22">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415</v>
      </c>
      <c r="C337" t="s">
        <v>64</v>
      </c>
      <c r="D337">
        <v>74</v>
      </c>
      <c r="E337" s="17" t="s">
        <v>30</v>
      </c>
      <c r="F337" s="18">
        <v>45024</v>
      </c>
      <c r="G337" s="22">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416</v>
      </c>
      <c r="C338" t="s">
        <v>66</v>
      </c>
      <c r="D338">
        <v>72</v>
      </c>
      <c r="E338" s="17" t="s">
        <v>32</v>
      </c>
      <c r="F338" s="18">
        <v>45024</v>
      </c>
      <c r="G338" s="22">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417</v>
      </c>
      <c r="C339" t="s">
        <v>64</v>
      </c>
      <c r="D339">
        <v>79</v>
      </c>
      <c r="E339" s="17" t="s">
        <v>30</v>
      </c>
      <c r="F339" s="18">
        <v>45025</v>
      </c>
      <c r="G339" s="22">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418</v>
      </c>
      <c r="C340" t="s">
        <v>62</v>
      </c>
      <c r="D340">
        <v>23</v>
      </c>
      <c r="E340" s="17" t="s">
        <v>30</v>
      </c>
      <c r="F340" s="18">
        <v>45025</v>
      </c>
      <c r="G340" s="22">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419</v>
      </c>
      <c r="C341" t="s">
        <v>54</v>
      </c>
      <c r="D341">
        <v>69</v>
      </c>
      <c r="E341" s="17" t="s">
        <v>30</v>
      </c>
      <c r="F341" s="18">
        <v>45025</v>
      </c>
      <c r="G341" s="22">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420</v>
      </c>
      <c r="C342" t="s">
        <v>65</v>
      </c>
      <c r="D342">
        <v>64</v>
      </c>
      <c r="E342" s="17" t="s">
        <v>30</v>
      </c>
      <c r="F342" s="18">
        <v>45025</v>
      </c>
      <c r="G342" s="2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421</v>
      </c>
      <c r="C343" t="s">
        <v>57</v>
      </c>
      <c r="D343">
        <v>47</v>
      </c>
      <c r="E343" s="17" t="s">
        <v>33</v>
      </c>
      <c r="F343" s="18">
        <v>45025</v>
      </c>
      <c r="G343" s="22">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422</v>
      </c>
      <c r="C344" t="s">
        <v>64</v>
      </c>
      <c r="D344">
        <v>55</v>
      </c>
      <c r="E344" s="17" t="s">
        <v>32</v>
      </c>
      <c r="F344" s="18">
        <v>45025</v>
      </c>
      <c r="G344" s="22">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423</v>
      </c>
      <c r="C345" t="s">
        <v>60</v>
      </c>
      <c r="D345">
        <v>104</v>
      </c>
      <c r="E345" s="17" t="s">
        <v>32</v>
      </c>
      <c r="F345" s="18">
        <v>45026</v>
      </c>
      <c r="G345" s="22">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424</v>
      </c>
      <c r="C346" t="s">
        <v>57</v>
      </c>
      <c r="D346">
        <v>116</v>
      </c>
      <c r="E346" s="17" t="s">
        <v>30</v>
      </c>
      <c r="F346" s="18">
        <v>45026</v>
      </c>
      <c r="G346" s="22">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425</v>
      </c>
      <c r="C347" t="s">
        <v>62</v>
      </c>
      <c r="D347">
        <v>99</v>
      </c>
      <c r="E347" s="17" t="s">
        <v>32</v>
      </c>
      <c r="F347" s="18">
        <v>45026</v>
      </c>
      <c r="G347" s="22">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426</v>
      </c>
      <c r="C348" t="s">
        <v>60</v>
      </c>
      <c r="D348">
        <v>84</v>
      </c>
      <c r="E348" s="17" t="s">
        <v>32</v>
      </c>
      <c r="F348" s="18">
        <v>45027</v>
      </c>
      <c r="G348" s="22">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427</v>
      </c>
      <c r="C349" t="s">
        <v>56</v>
      </c>
      <c r="D349">
        <v>159</v>
      </c>
      <c r="E349" s="17" t="s">
        <v>32</v>
      </c>
      <c r="F349" s="18">
        <v>45027</v>
      </c>
      <c r="G349" s="22">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428</v>
      </c>
      <c r="C350" t="s">
        <v>58</v>
      </c>
      <c r="D350">
        <v>25</v>
      </c>
      <c r="E350" s="17" t="s">
        <v>33</v>
      </c>
      <c r="F350" s="18">
        <v>45027</v>
      </c>
      <c r="G350" s="22">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429</v>
      </c>
      <c r="C351" t="s">
        <v>56</v>
      </c>
      <c r="D351">
        <v>53</v>
      </c>
      <c r="E351" s="17" t="s">
        <v>31</v>
      </c>
      <c r="F351" s="18">
        <v>45028</v>
      </c>
      <c r="G351" s="22">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430</v>
      </c>
      <c r="C352" t="s">
        <v>56</v>
      </c>
      <c r="D352">
        <v>89</v>
      </c>
      <c r="E352" s="17" t="s">
        <v>33</v>
      </c>
      <c r="F352" s="18">
        <v>45028</v>
      </c>
      <c r="G352" s="2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431</v>
      </c>
      <c r="C353" t="s">
        <v>67</v>
      </c>
      <c r="D353">
        <v>73</v>
      </c>
      <c r="E353" s="17" t="s">
        <v>30</v>
      </c>
      <c r="F353" s="18">
        <v>45029</v>
      </c>
      <c r="G353" s="22">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432</v>
      </c>
      <c r="C354" t="s">
        <v>62</v>
      </c>
      <c r="D354">
        <v>50</v>
      </c>
      <c r="E354" s="17" t="s">
        <v>30</v>
      </c>
      <c r="F354" s="18">
        <v>45029</v>
      </c>
      <c r="G354" s="22">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433</v>
      </c>
      <c r="C355" t="s">
        <v>55</v>
      </c>
      <c r="D355">
        <v>98</v>
      </c>
      <c r="E355" s="17" t="s">
        <v>30</v>
      </c>
      <c r="F355" s="18">
        <v>45029</v>
      </c>
      <c r="G355" s="22">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434</v>
      </c>
      <c r="C356" t="s">
        <v>61</v>
      </c>
      <c r="D356">
        <v>114</v>
      </c>
      <c r="E356" s="17" t="s">
        <v>32</v>
      </c>
      <c r="F356" s="18">
        <v>45030</v>
      </c>
      <c r="G356" s="22">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435</v>
      </c>
      <c r="C357" t="s">
        <v>65</v>
      </c>
      <c r="D357">
        <v>67</v>
      </c>
      <c r="E357" s="17" t="s">
        <v>32</v>
      </c>
      <c r="F357" s="18">
        <v>45030</v>
      </c>
      <c r="G357" s="22">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436</v>
      </c>
      <c r="C358" t="s">
        <v>64</v>
      </c>
      <c r="D358">
        <v>91</v>
      </c>
      <c r="E358" s="17" t="s">
        <v>30</v>
      </c>
      <c r="F358" s="18">
        <v>45030</v>
      </c>
      <c r="G358" s="22">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437</v>
      </c>
      <c r="C359" t="s">
        <v>59</v>
      </c>
      <c r="D359">
        <v>67</v>
      </c>
      <c r="E359" s="17" t="s">
        <v>30</v>
      </c>
      <c r="F359" s="18">
        <v>45031</v>
      </c>
      <c r="G359" s="22">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438</v>
      </c>
      <c r="C360" t="s">
        <v>61</v>
      </c>
      <c r="D360">
        <v>139</v>
      </c>
      <c r="E360" s="17" t="s">
        <v>33</v>
      </c>
      <c r="F360" s="18">
        <v>45031</v>
      </c>
      <c r="G360" s="22">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439</v>
      </c>
      <c r="C361" t="s">
        <v>59</v>
      </c>
      <c r="D361">
        <v>102</v>
      </c>
      <c r="E361" s="17" t="s">
        <v>33</v>
      </c>
      <c r="F361" s="18">
        <v>45031</v>
      </c>
      <c r="G361" s="22">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440</v>
      </c>
      <c r="C362" t="s">
        <v>63</v>
      </c>
      <c r="D362">
        <v>108</v>
      </c>
      <c r="E362" s="17" t="s">
        <v>22</v>
      </c>
      <c r="F362" s="18">
        <v>45031</v>
      </c>
      <c r="G362" s="2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441</v>
      </c>
      <c r="C363" t="s">
        <v>58</v>
      </c>
      <c r="D363">
        <v>66</v>
      </c>
      <c r="E363" s="17" t="s">
        <v>30</v>
      </c>
      <c r="F363" s="18">
        <v>45031</v>
      </c>
      <c r="G363" s="22">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442</v>
      </c>
      <c r="C364" t="s">
        <v>66</v>
      </c>
      <c r="D364">
        <v>85</v>
      </c>
      <c r="E364" s="17" t="s">
        <v>33</v>
      </c>
      <c r="F364" s="18">
        <v>45031</v>
      </c>
      <c r="G364" s="22">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443</v>
      </c>
      <c r="C365" t="s">
        <v>65</v>
      </c>
      <c r="D365">
        <v>55</v>
      </c>
      <c r="E365" s="17" t="s">
        <v>22</v>
      </c>
      <c r="F365" s="18">
        <v>45031</v>
      </c>
      <c r="G365" s="22">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444</v>
      </c>
      <c r="C366" t="s">
        <v>63</v>
      </c>
      <c r="D366">
        <v>17</v>
      </c>
      <c r="E366" s="17" t="s">
        <v>31</v>
      </c>
      <c r="F366" s="18">
        <v>45031</v>
      </c>
      <c r="G366" s="22">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445</v>
      </c>
      <c r="C367" t="s">
        <v>65</v>
      </c>
      <c r="D367">
        <v>128</v>
      </c>
      <c r="E367" s="17" t="s">
        <v>31</v>
      </c>
      <c r="F367" s="18">
        <v>45031</v>
      </c>
      <c r="G367" s="22">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446</v>
      </c>
      <c r="C368" t="s">
        <v>62</v>
      </c>
      <c r="D368">
        <v>45</v>
      </c>
      <c r="E368" s="17" t="s">
        <v>22</v>
      </c>
      <c r="F368" s="18">
        <v>45032</v>
      </c>
      <c r="G368" s="22">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447</v>
      </c>
      <c r="C369" t="s">
        <v>63</v>
      </c>
      <c r="D369">
        <v>41</v>
      </c>
      <c r="E369" s="17" t="s">
        <v>31</v>
      </c>
      <c r="F369" s="18">
        <v>45032</v>
      </c>
      <c r="G369" s="22">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448</v>
      </c>
      <c r="C370" t="s">
        <v>57</v>
      </c>
      <c r="D370">
        <v>49</v>
      </c>
      <c r="E370" s="17" t="s">
        <v>31</v>
      </c>
      <c r="F370" s="18">
        <v>45032</v>
      </c>
      <c r="G370" s="22">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449</v>
      </c>
      <c r="C371" t="s">
        <v>54</v>
      </c>
      <c r="D371">
        <v>21</v>
      </c>
      <c r="E371" s="17" t="s">
        <v>32</v>
      </c>
      <c r="F371" s="18">
        <v>45032</v>
      </c>
      <c r="G371" s="22">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450</v>
      </c>
      <c r="C372" t="s">
        <v>56</v>
      </c>
      <c r="D372">
        <v>133</v>
      </c>
      <c r="E372" s="17" t="s">
        <v>22</v>
      </c>
      <c r="F372" s="18">
        <v>45032</v>
      </c>
      <c r="G372" s="2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451</v>
      </c>
      <c r="C373" t="s">
        <v>53</v>
      </c>
      <c r="D373">
        <v>135</v>
      </c>
      <c r="E373" s="17" t="s">
        <v>30</v>
      </c>
      <c r="F373" s="18">
        <v>45032</v>
      </c>
      <c r="G373" s="22">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452</v>
      </c>
      <c r="C374" t="s">
        <v>61</v>
      </c>
      <c r="D374">
        <v>69</v>
      </c>
      <c r="E374" s="17" t="s">
        <v>22</v>
      </c>
      <c r="F374" s="18">
        <v>45032</v>
      </c>
      <c r="G374" s="22">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453</v>
      </c>
      <c r="C375" t="s">
        <v>60</v>
      </c>
      <c r="D375">
        <v>110</v>
      </c>
      <c r="E375" s="17" t="s">
        <v>32</v>
      </c>
      <c r="F375" s="18">
        <v>45033</v>
      </c>
      <c r="G375" s="22">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454</v>
      </c>
      <c r="C376" t="s">
        <v>59</v>
      </c>
      <c r="D376">
        <v>64</v>
      </c>
      <c r="E376" s="17" t="s">
        <v>33</v>
      </c>
      <c r="F376" s="18">
        <v>45033</v>
      </c>
      <c r="G376" s="22">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455</v>
      </c>
      <c r="C377" t="s">
        <v>64</v>
      </c>
      <c r="D377">
        <v>105</v>
      </c>
      <c r="E377" s="17" t="s">
        <v>31</v>
      </c>
      <c r="F377" s="18">
        <v>45033</v>
      </c>
      <c r="G377" s="22">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456</v>
      </c>
      <c r="C378" t="s">
        <v>59</v>
      </c>
      <c r="D378">
        <v>165</v>
      </c>
      <c r="E378" s="17" t="s">
        <v>30</v>
      </c>
      <c r="F378" s="18">
        <v>45033</v>
      </c>
      <c r="G378" s="22">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457</v>
      </c>
      <c r="C379" t="s">
        <v>62</v>
      </c>
      <c r="D379">
        <v>125</v>
      </c>
      <c r="E379" s="17" t="s">
        <v>30</v>
      </c>
      <c r="F379" s="18">
        <v>45033</v>
      </c>
      <c r="G379" s="22">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458</v>
      </c>
      <c r="C380" t="s">
        <v>64</v>
      </c>
      <c r="D380">
        <v>88</v>
      </c>
      <c r="E380" s="17" t="s">
        <v>33</v>
      </c>
      <c r="F380" s="18">
        <v>45034</v>
      </c>
      <c r="G380" s="22">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459</v>
      </c>
      <c r="C381" t="s">
        <v>61</v>
      </c>
      <c r="D381">
        <v>6</v>
      </c>
      <c r="E381" s="17" t="s">
        <v>33</v>
      </c>
      <c r="F381" s="18">
        <v>45034</v>
      </c>
      <c r="G381" s="22">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460</v>
      </c>
      <c r="C382" t="s">
        <v>66</v>
      </c>
      <c r="D382">
        <v>69</v>
      </c>
      <c r="E382" s="17" t="s">
        <v>22</v>
      </c>
      <c r="F382" s="18">
        <v>45035</v>
      </c>
      <c r="G382" s="2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461</v>
      </c>
      <c r="C383" t="s">
        <v>63</v>
      </c>
      <c r="D383">
        <v>107</v>
      </c>
      <c r="E383" s="17" t="s">
        <v>22</v>
      </c>
      <c r="F383" s="18">
        <v>45035</v>
      </c>
      <c r="G383" s="22">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462</v>
      </c>
      <c r="C384" t="s">
        <v>54</v>
      </c>
      <c r="D384">
        <v>90</v>
      </c>
      <c r="E384" s="17" t="s">
        <v>30</v>
      </c>
      <c r="F384" s="18">
        <v>45035</v>
      </c>
      <c r="G384" s="22">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463</v>
      </c>
      <c r="C385" t="s">
        <v>53</v>
      </c>
      <c r="D385">
        <v>120</v>
      </c>
      <c r="E385" s="17" t="s">
        <v>31</v>
      </c>
      <c r="F385" s="18">
        <v>45035</v>
      </c>
      <c r="G385" s="22">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464</v>
      </c>
      <c r="C386" t="s">
        <v>55</v>
      </c>
      <c r="D386">
        <v>47</v>
      </c>
      <c r="E386" s="17" t="s">
        <v>22</v>
      </c>
      <c r="F386" s="18">
        <v>45035</v>
      </c>
      <c r="G386" s="22">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465</v>
      </c>
      <c r="C387" t="s">
        <v>67</v>
      </c>
      <c r="D387">
        <v>60</v>
      </c>
      <c r="E387" s="17" t="s">
        <v>31</v>
      </c>
      <c r="F387" s="18">
        <v>45035</v>
      </c>
      <c r="G387" s="22">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466</v>
      </c>
      <c r="C388" t="s">
        <v>65</v>
      </c>
      <c r="D388">
        <v>64</v>
      </c>
      <c r="E388" s="17" t="s">
        <v>30</v>
      </c>
      <c r="F388" s="18">
        <v>45035</v>
      </c>
      <c r="G388" s="22">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467</v>
      </c>
      <c r="C389" t="s">
        <v>59</v>
      </c>
      <c r="D389">
        <v>62</v>
      </c>
      <c r="E389" s="17" t="s">
        <v>22</v>
      </c>
      <c r="F389" s="18">
        <v>45035</v>
      </c>
      <c r="G389" s="22">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468</v>
      </c>
      <c r="C390" t="s">
        <v>60</v>
      </c>
      <c r="D390">
        <v>88</v>
      </c>
      <c r="E390" s="17" t="s">
        <v>22</v>
      </c>
      <c r="F390" s="18">
        <v>45036</v>
      </c>
      <c r="G390" s="22">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469</v>
      </c>
      <c r="C391" t="s">
        <v>62</v>
      </c>
      <c r="D391">
        <v>116</v>
      </c>
      <c r="E391" s="17" t="s">
        <v>22</v>
      </c>
      <c r="F391" s="18">
        <v>45036</v>
      </c>
      <c r="G391" s="22">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470</v>
      </c>
      <c r="C392" t="s">
        <v>54</v>
      </c>
      <c r="D392">
        <v>82</v>
      </c>
      <c r="E392" s="17" t="s">
        <v>33</v>
      </c>
      <c r="F392" s="18">
        <v>45037</v>
      </c>
      <c r="G392" s="2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471</v>
      </c>
      <c r="C393" t="s">
        <v>59</v>
      </c>
      <c r="D393">
        <v>99</v>
      </c>
      <c r="E393" s="17" t="s">
        <v>30</v>
      </c>
      <c r="F393" s="18">
        <v>45037</v>
      </c>
      <c r="G393" s="22">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472</v>
      </c>
      <c r="C394" t="s">
        <v>59</v>
      </c>
      <c r="D394">
        <v>55</v>
      </c>
      <c r="E394" s="17" t="s">
        <v>33</v>
      </c>
      <c r="F394" s="18">
        <v>45037</v>
      </c>
      <c r="G394" s="22">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473</v>
      </c>
      <c r="C395" t="s">
        <v>65</v>
      </c>
      <c r="D395">
        <v>61</v>
      </c>
      <c r="E395" s="17" t="s">
        <v>31</v>
      </c>
      <c r="F395" s="18">
        <v>45037</v>
      </c>
      <c r="G395" s="22">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474</v>
      </c>
      <c r="C396" t="s">
        <v>62</v>
      </c>
      <c r="D396">
        <v>36</v>
      </c>
      <c r="E396" s="17" t="s">
        <v>32</v>
      </c>
      <c r="F396" s="18">
        <v>45037</v>
      </c>
      <c r="G396" s="22">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475</v>
      </c>
      <c r="C397" t="s">
        <v>54</v>
      </c>
      <c r="D397">
        <v>123</v>
      </c>
      <c r="E397" s="17" t="s">
        <v>22</v>
      </c>
      <c r="F397" s="18">
        <v>45037</v>
      </c>
      <c r="G397" s="22">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476</v>
      </c>
      <c r="C398" t="s">
        <v>57</v>
      </c>
      <c r="D398">
        <v>24</v>
      </c>
      <c r="E398" s="17" t="s">
        <v>31</v>
      </c>
      <c r="F398" s="18">
        <v>45037</v>
      </c>
      <c r="G398" s="22">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477</v>
      </c>
      <c r="C399" t="s">
        <v>54</v>
      </c>
      <c r="D399">
        <v>43</v>
      </c>
      <c r="E399" s="17" t="s">
        <v>22</v>
      </c>
      <c r="F399" s="18">
        <v>45038</v>
      </c>
      <c r="G399" s="22">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478</v>
      </c>
      <c r="C400" t="s">
        <v>67</v>
      </c>
      <c r="D400">
        <v>95</v>
      </c>
      <c r="E400" s="17" t="s">
        <v>30</v>
      </c>
      <c r="F400" s="18">
        <v>45038</v>
      </c>
      <c r="G400" s="22">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479</v>
      </c>
      <c r="C401" t="s">
        <v>59</v>
      </c>
      <c r="D401">
        <v>53</v>
      </c>
      <c r="E401" s="17" t="s">
        <v>22</v>
      </c>
      <c r="F401" s="18">
        <v>45038</v>
      </c>
      <c r="G401" s="22">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480</v>
      </c>
      <c r="C402" t="s">
        <v>54</v>
      </c>
      <c r="D402">
        <v>113</v>
      </c>
      <c r="E402" s="17" t="s">
        <v>22</v>
      </c>
      <c r="F402" s="18">
        <v>45038</v>
      </c>
      <c r="G402" s="2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481</v>
      </c>
      <c r="C403" t="s">
        <v>59</v>
      </c>
      <c r="D403">
        <v>89</v>
      </c>
      <c r="E403" s="17" t="s">
        <v>32</v>
      </c>
      <c r="F403" s="18">
        <v>45038</v>
      </c>
      <c r="G403" s="22">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482</v>
      </c>
      <c r="C404" t="s">
        <v>60</v>
      </c>
      <c r="D404">
        <v>84</v>
      </c>
      <c r="E404" s="17" t="s">
        <v>33</v>
      </c>
      <c r="F404" s="18">
        <v>45038</v>
      </c>
      <c r="G404" s="22">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483</v>
      </c>
      <c r="C405" t="s">
        <v>57</v>
      </c>
      <c r="D405">
        <v>130</v>
      </c>
      <c r="E405" s="17" t="s">
        <v>22</v>
      </c>
      <c r="F405" s="18">
        <v>45039</v>
      </c>
      <c r="G405" s="22">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484</v>
      </c>
      <c r="C406" t="s">
        <v>67</v>
      </c>
      <c r="D406">
        <v>163</v>
      </c>
      <c r="E406" s="17" t="s">
        <v>32</v>
      </c>
      <c r="F406" s="18">
        <v>45039</v>
      </c>
      <c r="G406" s="22">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485</v>
      </c>
      <c r="C407" t="s">
        <v>66</v>
      </c>
      <c r="D407">
        <v>127</v>
      </c>
      <c r="E407" s="17" t="s">
        <v>22</v>
      </c>
      <c r="F407" s="18">
        <v>45039</v>
      </c>
      <c r="G407" s="22">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486</v>
      </c>
      <c r="C408" t="s">
        <v>54</v>
      </c>
      <c r="D408">
        <v>50</v>
      </c>
      <c r="E408" s="17" t="s">
        <v>22</v>
      </c>
      <c r="F408" s="18">
        <v>45039</v>
      </c>
      <c r="G408" s="22">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487</v>
      </c>
      <c r="C409" t="s">
        <v>58</v>
      </c>
      <c r="D409">
        <v>88</v>
      </c>
      <c r="E409" s="17" t="s">
        <v>31</v>
      </c>
      <c r="F409" s="18">
        <v>45039</v>
      </c>
      <c r="G409" s="22">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488</v>
      </c>
      <c r="C410" t="s">
        <v>54</v>
      </c>
      <c r="D410">
        <v>139</v>
      </c>
      <c r="E410" s="17" t="s">
        <v>30</v>
      </c>
      <c r="F410" s="18">
        <v>45040</v>
      </c>
      <c r="G410" s="22">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489</v>
      </c>
      <c r="C411" t="s">
        <v>67</v>
      </c>
      <c r="D411">
        <v>111</v>
      </c>
      <c r="E411" s="17" t="s">
        <v>22</v>
      </c>
      <c r="F411" s="18">
        <v>45040</v>
      </c>
      <c r="G411" s="22">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490</v>
      </c>
      <c r="C412" t="s">
        <v>64</v>
      </c>
      <c r="D412">
        <v>115</v>
      </c>
      <c r="E412" s="17" t="s">
        <v>30</v>
      </c>
      <c r="F412" s="18">
        <v>45040</v>
      </c>
      <c r="G412" s="2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491</v>
      </c>
      <c r="C413" t="s">
        <v>59</v>
      </c>
      <c r="D413">
        <v>26</v>
      </c>
      <c r="E413" s="17" t="s">
        <v>32</v>
      </c>
      <c r="F413" s="18">
        <v>45040</v>
      </c>
      <c r="G413" s="22">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492</v>
      </c>
      <c r="C414" t="s">
        <v>60</v>
      </c>
      <c r="D414">
        <v>131</v>
      </c>
      <c r="E414" s="17" t="s">
        <v>31</v>
      </c>
      <c r="F414" s="18">
        <v>45040</v>
      </c>
      <c r="G414" s="22">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493</v>
      </c>
      <c r="C415" t="s">
        <v>64</v>
      </c>
      <c r="D415">
        <v>27</v>
      </c>
      <c r="E415" s="17" t="s">
        <v>31</v>
      </c>
      <c r="F415" s="18">
        <v>45040</v>
      </c>
      <c r="G415" s="22">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494</v>
      </c>
      <c r="C416" t="s">
        <v>56</v>
      </c>
      <c r="D416">
        <v>75</v>
      </c>
      <c r="E416" s="17" t="s">
        <v>22</v>
      </c>
      <c r="F416" s="18">
        <v>45040</v>
      </c>
      <c r="G416" s="22">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495</v>
      </c>
      <c r="C417" t="s">
        <v>65</v>
      </c>
      <c r="D417">
        <v>123</v>
      </c>
      <c r="E417" s="17" t="s">
        <v>31</v>
      </c>
      <c r="F417" s="18">
        <v>45040</v>
      </c>
      <c r="G417" s="22">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496</v>
      </c>
      <c r="C418" t="s">
        <v>53</v>
      </c>
      <c r="D418">
        <v>129</v>
      </c>
      <c r="E418" s="17" t="s">
        <v>31</v>
      </c>
      <c r="F418" s="18">
        <v>45041</v>
      </c>
      <c r="G418" s="22">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497</v>
      </c>
      <c r="C419" t="s">
        <v>56</v>
      </c>
      <c r="D419">
        <v>124</v>
      </c>
      <c r="E419" s="17" t="s">
        <v>30</v>
      </c>
      <c r="F419" s="18">
        <v>45041</v>
      </c>
      <c r="G419" s="22">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498</v>
      </c>
      <c r="C420" t="s">
        <v>64</v>
      </c>
      <c r="D420">
        <v>108</v>
      </c>
      <c r="E420" s="17" t="s">
        <v>30</v>
      </c>
      <c r="F420" s="18">
        <v>45041</v>
      </c>
      <c r="G420" s="22">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499</v>
      </c>
      <c r="C421" t="s">
        <v>55</v>
      </c>
      <c r="D421">
        <v>15</v>
      </c>
      <c r="E421" s="17" t="s">
        <v>30</v>
      </c>
      <c r="F421" s="18">
        <v>45041</v>
      </c>
      <c r="G421" s="22">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500</v>
      </c>
      <c r="C422" t="s">
        <v>64</v>
      </c>
      <c r="D422">
        <v>66</v>
      </c>
      <c r="E422" s="17" t="s">
        <v>30</v>
      </c>
      <c r="F422" s="18">
        <v>45041</v>
      </c>
      <c r="G422" s="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501</v>
      </c>
      <c r="C423" t="s">
        <v>58</v>
      </c>
      <c r="D423">
        <v>126</v>
      </c>
      <c r="E423" s="17" t="s">
        <v>22</v>
      </c>
      <c r="F423" s="18">
        <v>45042</v>
      </c>
      <c r="G423" s="22">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502</v>
      </c>
      <c r="C424" t="s">
        <v>56</v>
      </c>
      <c r="D424">
        <v>26</v>
      </c>
      <c r="E424" s="17" t="s">
        <v>33</v>
      </c>
      <c r="F424" s="18">
        <v>45042</v>
      </c>
      <c r="G424" s="22">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503</v>
      </c>
      <c r="C425" t="s">
        <v>57</v>
      </c>
      <c r="D425">
        <v>105</v>
      </c>
      <c r="E425" s="17" t="s">
        <v>22</v>
      </c>
      <c r="F425" s="18">
        <v>45042</v>
      </c>
      <c r="G425" s="22">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504</v>
      </c>
      <c r="C426" t="s">
        <v>57</v>
      </c>
      <c r="D426">
        <v>31</v>
      </c>
      <c r="E426" s="17" t="s">
        <v>22</v>
      </c>
      <c r="F426" s="18">
        <v>45042</v>
      </c>
      <c r="G426" s="22">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505</v>
      </c>
      <c r="C427" t="s">
        <v>64</v>
      </c>
      <c r="D427">
        <v>109</v>
      </c>
      <c r="E427" s="17" t="s">
        <v>30</v>
      </c>
      <c r="F427" s="18">
        <v>45042</v>
      </c>
      <c r="G427" s="22">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506</v>
      </c>
      <c r="C428" t="s">
        <v>53</v>
      </c>
      <c r="D428">
        <v>113</v>
      </c>
      <c r="E428" s="17" t="s">
        <v>32</v>
      </c>
      <c r="F428" s="18">
        <v>45043</v>
      </c>
      <c r="G428" s="22">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507</v>
      </c>
      <c r="C429" t="s">
        <v>58</v>
      </c>
      <c r="D429">
        <v>101</v>
      </c>
      <c r="E429" s="17" t="s">
        <v>33</v>
      </c>
      <c r="F429" s="18">
        <v>45043</v>
      </c>
      <c r="G429" s="22">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508</v>
      </c>
      <c r="C430" t="s">
        <v>67</v>
      </c>
      <c r="D430">
        <v>156</v>
      </c>
      <c r="E430" s="17" t="s">
        <v>33</v>
      </c>
      <c r="F430" s="18">
        <v>45043</v>
      </c>
      <c r="G430" s="22">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509</v>
      </c>
      <c r="C431" t="s">
        <v>64</v>
      </c>
      <c r="D431">
        <v>145</v>
      </c>
      <c r="E431" s="17" t="s">
        <v>32</v>
      </c>
      <c r="F431" s="18">
        <v>45044</v>
      </c>
      <c r="G431" s="22">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510</v>
      </c>
      <c r="C432" t="s">
        <v>65</v>
      </c>
      <c r="D432">
        <v>36</v>
      </c>
      <c r="E432" s="17" t="s">
        <v>30</v>
      </c>
      <c r="F432" s="18">
        <v>45044</v>
      </c>
      <c r="G432" s="2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511</v>
      </c>
      <c r="C433" t="s">
        <v>57</v>
      </c>
      <c r="D433">
        <v>135</v>
      </c>
      <c r="E433" s="17" t="s">
        <v>31</v>
      </c>
      <c r="F433" s="18">
        <v>45045</v>
      </c>
      <c r="G433" s="22">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512</v>
      </c>
      <c r="C434" t="s">
        <v>58</v>
      </c>
      <c r="D434">
        <v>81</v>
      </c>
      <c r="E434" s="17" t="s">
        <v>30</v>
      </c>
      <c r="F434" s="18">
        <v>45045</v>
      </c>
      <c r="G434" s="22">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513</v>
      </c>
      <c r="C435" t="s">
        <v>58</v>
      </c>
      <c r="D435">
        <v>81</v>
      </c>
      <c r="E435" s="17" t="s">
        <v>32</v>
      </c>
      <c r="F435" s="18">
        <v>45045</v>
      </c>
      <c r="G435" s="22">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514</v>
      </c>
      <c r="C436" t="s">
        <v>66</v>
      </c>
      <c r="D436">
        <v>93</v>
      </c>
      <c r="E436" s="17" t="s">
        <v>22</v>
      </c>
      <c r="F436" s="18">
        <v>45045</v>
      </c>
      <c r="G436" s="22">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515</v>
      </c>
      <c r="C437" t="s">
        <v>64</v>
      </c>
      <c r="D437">
        <v>14</v>
      </c>
      <c r="E437" s="17" t="s">
        <v>30</v>
      </c>
      <c r="F437" s="18">
        <v>45045</v>
      </c>
      <c r="G437" s="22">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516</v>
      </c>
      <c r="C438" t="s">
        <v>57</v>
      </c>
      <c r="D438">
        <v>95</v>
      </c>
      <c r="E438" s="17" t="s">
        <v>32</v>
      </c>
      <c r="F438" s="18">
        <v>45046</v>
      </c>
      <c r="G438" s="22">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517</v>
      </c>
      <c r="C439" t="s">
        <v>66</v>
      </c>
      <c r="D439">
        <v>81</v>
      </c>
      <c r="E439" s="17" t="s">
        <v>32</v>
      </c>
      <c r="F439" s="18">
        <v>45046</v>
      </c>
      <c r="G439" s="22">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518</v>
      </c>
      <c r="C440" t="s">
        <v>59</v>
      </c>
      <c r="D440">
        <v>60</v>
      </c>
      <c r="E440" s="17" t="s">
        <v>30</v>
      </c>
      <c r="F440" s="18">
        <v>45047</v>
      </c>
      <c r="G440" s="22">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519</v>
      </c>
      <c r="C441" t="s">
        <v>61</v>
      </c>
      <c r="D441">
        <v>137</v>
      </c>
      <c r="E441" s="17" t="s">
        <v>22</v>
      </c>
      <c r="F441" s="18">
        <v>45047</v>
      </c>
      <c r="G441" s="22">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520</v>
      </c>
      <c r="C442" t="s">
        <v>54</v>
      </c>
      <c r="D442">
        <v>112</v>
      </c>
      <c r="E442" s="17" t="s">
        <v>31</v>
      </c>
      <c r="F442" s="18">
        <v>45047</v>
      </c>
      <c r="G442" s="2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521</v>
      </c>
      <c r="C443" t="s">
        <v>57</v>
      </c>
      <c r="D443">
        <v>76</v>
      </c>
      <c r="E443" s="17" t="s">
        <v>33</v>
      </c>
      <c r="F443" s="18">
        <v>45047</v>
      </c>
      <c r="G443" s="22">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522</v>
      </c>
      <c r="C444" t="s">
        <v>62</v>
      </c>
      <c r="D444">
        <v>73</v>
      </c>
      <c r="E444" s="17" t="s">
        <v>30</v>
      </c>
      <c r="F444" s="18">
        <v>45047</v>
      </c>
      <c r="G444" s="22">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523</v>
      </c>
      <c r="C445" t="s">
        <v>60</v>
      </c>
      <c r="D445">
        <v>119</v>
      </c>
      <c r="E445" s="17" t="s">
        <v>22</v>
      </c>
      <c r="F445" s="18">
        <v>45047</v>
      </c>
      <c r="G445" s="22">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524</v>
      </c>
      <c r="C446" t="s">
        <v>53</v>
      </c>
      <c r="D446">
        <v>135</v>
      </c>
      <c r="E446" s="17" t="s">
        <v>32</v>
      </c>
      <c r="F446" s="18">
        <v>45048</v>
      </c>
      <c r="G446" s="22">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525</v>
      </c>
      <c r="C447" t="s">
        <v>61</v>
      </c>
      <c r="D447">
        <v>41</v>
      </c>
      <c r="E447" s="17" t="s">
        <v>31</v>
      </c>
      <c r="F447" s="18">
        <v>45048</v>
      </c>
      <c r="G447" s="22">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526</v>
      </c>
      <c r="C448" t="s">
        <v>64</v>
      </c>
      <c r="D448">
        <v>35</v>
      </c>
      <c r="E448" s="17" t="s">
        <v>32</v>
      </c>
      <c r="F448" s="18">
        <v>45049</v>
      </c>
      <c r="G448" s="22">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527</v>
      </c>
      <c r="C449" t="s">
        <v>53</v>
      </c>
      <c r="D449">
        <v>96</v>
      </c>
      <c r="E449" s="17" t="s">
        <v>30</v>
      </c>
      <c r="F449" s="18">
        <v>45049</v>
      </c>
      <c r="G449" s="22">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528</v>
      </c>
      <c r="C450" t="s">
        <v>66</v>
      </c>
      <c r="D450">
        <v>61</v>
      </c>
      <c r="E450" s="17" t="s">
        <v>31</v>
      </c>
      <c r="F450" s="18">
        <v>45049</v>
      </c>
      <c r="G450" s="22">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529</v>
      </c>
      <c r="C451" t="s">
        <v>53</v>
      </c>
      <c r="D451">
        <v>91</v>
      </c>
      <c r="E451" s="17" t="s">
        <v>31</v>
      </c>
      <c r="F451" s="18">
        <v>45049</v>
      </c>
      <c r="G451" s="22">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530</v>
      </c>
      <c r="C452" t="s">
        <v>63</v>
      </c>
      <c r="D452">
        <v>30</v>
      </c>
      <c r="E452" s="17" t="s">
        <v>31</v>
      </c>
      <c r="F452" s="18">
        <v>45050</v>
      </c>
      <c r="G452" s="2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531</v>
      </c>
      <c r="C453" t="s">
        <v>59</v>
      </c>
      <c r="D453">
        <v>111</v>
      </c>
      <c r="E453" s="17" t="s">
        <v>22</v>
      </c>
      <c r="F453" s="18">
        <v>45050</v>
      </c>
      <c r="G453" s="22">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532</v>
      </c>
      <c r="C454" t="s">
        <v>66</v>
      </c>
      <c r="D454">
        <v>81</v>
      </c>
      <c r="E454" s="17" t="s">
        <v>30</v>
      </c>
      <c r="F454" s="18">
        <v>45050</v>
      </c>
      <c r="G454" s="22">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533</v>
      </c>
      <c r="C455" t="s">
        <v>57</v>
      </c>
      <c r="D455">
        <v>40</v>
      </c>
      <c r="E455" s="17" t="s">
        <v>32</v>
      </c>
      <c r="F455" s="18">
        <v>45052</v>
      </c>
      <c r="G455" s="22">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534</v>
      </c>
      <c r="C456" t="s">
        <v>59</v>
      </c>
      <c r="D456">
        <v>143</v>
      </c>
      <c r="E456" s="17" t="s">
        <v>32</v>
      </c>
      <c r="F456" s="18">
        <v>45052</v>
      </c>
      <c r="G456" s="22">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535</v>
      </c>
      <c r="C457" t="s">
        <v>57</v>
      </c>
      <c r="D457">
        <v>70</v>
      </c>
      <c r="E457" s="17" t="s">
        <v>32</v>
      </c>
      <c r="F457" s="18">
        <v>45053</v>
      </c>
      <c r="G457" s="22">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536</v>
      </c>
      <c r="C458" t="s">
        <v>62</v>
      </c>
      <c r="D458">
        <v>137</v>
      </c>
      <c r="E458" s="17" t="s">
        <v>32</v>
      </c>
      <c r="F458" s="18">
        <v>45053</v>
      </c>
      <c r="G458" s="22">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537</v>
      </c>
      <c r="C459" t="s">
        <v>53</v>
      </c>
      <c r="D459">
        <v>52</v>
      </c>
      <c r="E459" s="17" t="s">
        <v>30</v>
      </c>
      <c r="F459" s="18">
        <v>45054</v>
      </c>
      <c r="G459" s="22">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538</v>
      </c>
      <c r="C460" t="s">
        <v>54</v>
      </c>
      <c r="D460">
        <v>31</v>
      </c>
      <c r="E460" s="17" t="s">
        <v>22</v>
      </c>
      <c r="F460" s="18">
        <v>45054</v>
      </c>
      <c r="G460" s="22">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539</v>
      </c>
      <c r="C461" t="s">
        <v>53</v>
      </c>
      <c r="D461">
        <v>114</v>
      </c>
      <c r="E461" s="17" t="s">
        <v>31</v>
      </c>
      <c r="F461" s="18">
        <v>45054</v>
      </c>
      <c r="G461" s="22">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540</v>
      </c>
      <c r="C462" t="s">
        <v>62</v>
      </c>
      <c r="D462">
        <v>73</v>
      </c>
      <c r="E462" s="17" t="s">
        <v>33</v>
      </c>
      <c r="F462" s="18">
        <v>45054</v>
      </c>
      <c r="G462" s="2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541</v>
      </c>
      <c r="C463" t="s">
        <v>66</v>
      </c>
      <c r="D463">
        <v>25</v>
      </c>
      <c r="E463" s="17" t="s">
        <v>22</v>
      </c>
      <c r="F463" s="18">
        <v>45054</v>
      </c>
      <c r="G463" s="22">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542</v>
      </c>
      <c r="C464" t="s">
        <v>55</v>
      </c>
      <c r="D464">
        <v>44</v>
      </c>
      <c r="E464" s="17" t="s">
        <v>31</v>
      </c>
      <c r="F464" s="18">
        <v>45054</v>
      </c>
      <c r="G464" s="22">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543</v>
      </c>
      <c r="C465" t="s">
        <v>65</v>
      </c>
      <c r="D465">
        <v>34</v>
      </c>
      <c r="E465" s="17" t="s">
        <v>30</v>
      </c>
      <c r="F465" s="18">
        <v>45055</v>
      </c>
      <c r="G465" s="22">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544</v>
      </c>
      <c r="C466" t="s">
        <v>59</v>
      </c>
      <c r="D466">
        <v>89</v>
      </c>
      <c r="E466" s="17" t="s">
        <v>32</v>
      </c>
      <c r="F466" s="18">
        <v>45056</v>
      </c>
      <c r="G466" s="22">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545</v>
      </c>
      <c r="C467" t="s">
        <v>60</v>
      </c>
      <c r="D467">
        <v>54</v>
      </c>
      <c r="E467" s="17" t="s">
        <v>22</v>
      </c>
      <c r="F467" s="18">
        <v>45057</v>
      </c>
      <c r="G467" s="22">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546</v>
      </c>
      <c r="C468" t="s">
        <v>64</v>
      </c>
      <c r="D468">
        <v>25</v>
      </c>
      <c r="E468" s="17" t="s">
        <v>22</v>
      </c>
      <c r="F468" s="18">
        <v>45058</v>
      </c>
      <c r="G468" s="22">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547</v>
      </c>
      <c r="C469" t="s">
        <v>61</v>
      </c>
      <c r="D469">
        <v>91</v>
      </c>
      <c r="E469" s="17" t="s">
        <v>32</v>
      </c>
      <c r="F469" s="18">
        <v>45058</v>
      </c>
      <c r="G469" s="22">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548</v>
      </c>
      <c r="C470" t="s">
        <v>55</v>
      </c>
      <c r="D470">
        <v>144</v>
      </c>
      <c r="E470" s="17" t="s">
        <v>31</v>
      </c>
      <c r="F470" s="18">
        <v>45058</v>
      </c>
      <c r="G470" s="22">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549</v>
      </c>
      <c r="C471" t="s">
        <v>61</v>
      </c>
      <c r="D471">
        <v>81</v>
      </c>
      <c r="E471" s="17" t="s">
        <v>30</v>
      </c>
      <c r="F471" s="18">
        <v>45060</v>
      </c>
      <c r="G471" s="22">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550</v>
      </c>
      <c r="C472" t="s">
        <v>63</v>
      </c>
      <c r="D472">
        <v>92</v>
      </c>
      <c r="E472" s="17" t="s">
        <v>22</v>
      </c>
      <c r="F472" s="18">
        <v>45060</v>
      </c>
      <c r="G472" s="2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551</v>
      </c>
      <c r="C473" t="s">
        <v>64</v>
      </c>
      <c r="D473">
        <v>115</v>
      </c>
      <c r="E473" s="17" t="s">
        <v>32</v>
      </c>
      <c r="F473" s="18">
        <v>45060</v>
      </c>
      <c r="G473" s="22">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552</v>
      </c>
      <c r="C474" t="s">
        <v>58</v>
      </c>
      <c r="D474">
        <v>56</v>
      </c>
      <c r="E474" s="17" t="s">
        <v>32</v>
      </c>
      <c r="F474" s="18">
        <v>45061</v>
      </c>
      <c r="G474" s="22">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553</v>
      </c>
      <c r="C475" t="s">
        <v>54</v>
      </c>
      <c r="D475">
        <v>154</v>
      </c>
      <c r="E475" s="17" t="s">
        <v>22</v>
      </c>
      <c r="F475" s="18">
        <v>45061</v>
      </c>
      <c r="G475" s="22">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554</v>
      </c>
      <c r="C476" t="s">
        <v>59</v>
      </c>
      <c r="D476">
        <v>51</v>
      </c>
      <c r="E476" s="17" t="s">
        <v>32</v>
      </c>
      <c r="F476" s="18">
        <v>45062</v>
      </c>
      <c r="G476" s="22">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555</v>
      </c>
      <c r="C477" t="s">
        <v>65</v>
      </c>
      <c r="D477">
        <v>21</v>
      </c>
      <c r="E477" s="17" t="s">
        <v>30</v>
      </c>
      <c r="F477" s="18">
        <v>45062</v>
      </c>
      <c r="G477" s="22">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556</v>
      </c>
      <c r="C478" t="s">
        <v>64</v>
      </c>
      <c r="D478">
        <v>80</v>
      </c>
      <c r="E478" s="17" t="s">
        <v>32</v>
      </c>
      <c r="F478" s="18">
        <v>45063</v>
      </c>
      <c r="G478" s="22">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557</v>
      </c>
      <c r="C479" t="s">
        <v>59</v>
      </c>
      <c r="D479">
        <v>139</v>
      </c>
      <c r="E479" s="17" t="s">
        <v>22</v>
      </c>
      <c r="F479" s="18">
        <v>45063</v>
      </c>
      <c r="G479" s="22">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558</v>
      </c>
      <c r="C480" t="s">
        <v>57</v>
      </c>
      <c r="D480">
        <v>50</v>
      </c>
      <c r="E480" s="17" t="s">
        <v>30</v>
      </c>
      <c r="F480" s="18">
        <v>45063</v>
      </c>
      <c r="G480" s="22">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559</v>
      </c>
      <c r="C481" t="s">
        <v>64</v>
      </c>
      <c r="D481">
        <v>88</v>
      </c>
      <c r="E481" s="17" t="s">
        <v>32</v>
      </c>
      <c r="F481" s="18">
        <v>45063</v>
      </c>
      <c r="G481" s="22">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560</v>
      </c>
      <c r="C482" t="s">
        <v>60</v>
      </c>
      <c r="D482">
        <v>19</v>
      </c>
      <c r="E482" s="17" t="s">
        <v>31</v>
      </c>
      <c r="F482" s="18">
        <v>45064</v>
      </c>
      <c r="G482" s="2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561</v>
      </c>
      <c r="C483" t="s">
        <v>66</v>
      </c>
      <c r="D483">
        <v>104</v>
      </c>
      <c r="E483" s="17" t="s">
        <v>31</v>
      </c>
      <c r="F483" s="18">
        <v>45065</v>
      </c>
      <c r="G483" s="22">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562</v>
      </c>
      <c r="C484" t="s">
        <v>54</v>
      </c>
      <c r="D484">
        <v>67</v>
      </c>
      <c r="E484" s="17" t="s">
        <v>22</v>
      </c>
      <c r="F484" s="18">
        <v>45067</v>
      </c>
      <c r="G484" s="22">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563</v>
      </c>
      <c r="C485" t="s">
        <v>56</v>
      </c>
      <c r="D485">
        <v>107</v>
      </c>
      <c r="E485" s="17" t="s">
        <v>31</v>
      </c>
      <c r="F485" s="18">
        <v>45067</v>
      </c>
      <c r="G485" s="22">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564</v>
      </c>
      <c r="C486" t="s">
        <v>56</v>
      </c>
      <c r="D486">
        <v>93</v>
      </c>
      <c r="E486" s="17" t="s">
        <v>31</v>
      </c>
      <c r="F486" s="18">
        <v>45067</v>
      </c>
      <c r="G486" s="22">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565</v>
      </c>
      <c r="C487" t="s">
        <v>56</v>
      </c>
      <c r="D487">
        <v>117</v>
      </c>
      <c r="E487" s="17" t="s">
        <v>22</v>
      </c>
      <c r="F487" s="18">
        <v>45067</v>
      </c>
      <c r="G487" s="22">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566</v>
      </c>
      <c r="C488" t="s">
        <v>57</v>
      </c>
      <c r="D488">
        <v>76</v>
      </c>
      <c r="E488" s="17" t="s">
        <v>32</v>
      </c>
      <c r="F488" s="18">
        <v>45068</v>
      </c>
      <c r="G488" s="22">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567</v>
      </c>
      <c r="C489" t="s">
        <v>60</v>
      </c>
      <c r="D489">
        <v>64</v>
      </c>
      <c r="E489" s="17" t="s">
        <v>31</v>
      </c>
      <c r="F489" s="18">
        <v>45068</v>
      </c>
      <c r="G489" s="22">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568</v>
      </c>
      <c r="C490" t="s">
        <v>55</v>
      </c>
      <c r="D490">
        <v>33</v>
      </c>
      <c r="E490" s="17" t="s">
        <v>31</v>
      </c>
      <c r="F490" s="18">
        <v>45068</v>
      </c>
      <c r="G490" s="22">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569</v>
      </c>
      <c r="C491" t="s">
        <v>56</v>
      </c>
      <c r="D491">
        <v>115</v>
      </c>
      <c r="E491" s="17" t="s">
        <v>22</v>
      </c>
      <c r="F491" s="18">
        <v>45068</v>
      </c>
      <c r="G491" s="22">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570</v>
      </c>
      <c r="C492" t="s">
        <v>67</v>
      </c>
      <c r="D492">
        <v>155</v>
      </c>
      <c r="E492" s="17" t="s">
        <v>32</v>
      </c>
      <c r="F492" s="18">
        <v>45069</v>
      </c>
      <c r="G492" s="2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571</v>
      </c>
      <c r="C493" t="s">
        <v>54</v>
      </c>
      <c r="D493">
        <v>117</v>
      </c>
      <c r="E493" s="17" t="s">
        <v>32</v>
      </c>
      <c r="F493" s="18">
        <v>45069</v>
      </c>
      <c r="G493" s="22">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572</v>
      </c>
      <c r="C494" t="s">
        <v>59</v>
      </c>
      <c r="D494">
        <v>63</v>
      </c>
      <c r="E494" s="17" t="s">
        <v>32</v>
      </c>
      <c r="F494" s="18">
        <v>45069</v>
      </c>
      <c r="G494" s="22">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573</v>
      </c>
      <c r="C495" t="s">
        <v>60</v>
      </c>
      <c r="D495">
        <v>59</v>
      </c>
      <c r="E495" s="17" t="s">
        <v>33</v>
      </c>
      <c r="F495" s="18">
        <v>45070</v>
      </c>
      <c r="G495" s="22">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574</v>
      </c>
      <c r="C496" t="s">
        <v>65</v>
      </c>
      <c r="D496">
        <v>133</v>
      </c>
      <c r="E496" s="17" t="s">
        <v>31</v>
      </c>
      <c r="F496" s="18">
        <v>45070</v>
      </c>
      <c r="G496" s="22">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575</v>
      </c>
      <c r="C497" t="s">
        <v>63</v>
      </c>
      <c r="D497">
        <v>101</v>
      </c>
      <c r="E497" s="17" t="s">
        <v>30</v>
      </c>
      <c r="F497" s="18">
        <v>45070</v>
      </c>
      <c r="G497" s="22">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576</v>
      </c>
      <c r="C498" t="s">
        <v>61</v>
      </c>
      <c r="D498">
        <v>151</v>
      </c>
      <c r="E498" s="17" t="s">
        <v>32</v>
      </c>
      <c r="F498" s="18">
        <v>45071</v>
      </c>
      <c r="G498" s="22">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577</v>
      </c>
      <c r="C499" t="s">
        <v>55</v>
      </c>
      <c r="D499">
        <v>146</v>
      </c>
      <c r="E499" s="17" t="s">
        <v>31</v>
      </c>
      <c r="F499" s="18">
        <v>45071</v>
      </c>
      <c r="G499" s="22">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578</v>
      </c>
      <c r="C500" t="s">
        <v>59</v>
      </c>
      <c r="D500">
        <v>148</v>
      </c>
      <c r="E500" s="17" t="s">
        <v>31</v>
      </c>
      <c r="F500" s="18">
        <v>45071</v>
      </c>
      <c r="G500" s="22">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579</v>
      </c>
      <c r="C501" t="s">
        <v>61</v>
      </c>
      <c r="D501">
        <v>81</v>
      </c>
      <c r="E501" s="17" t="s">
        <v>31</v>
      </c>
      <c r="F501" s="18">
        <v>45071</v>
      </c>
      <c r="G501" s="22">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580</v>
      </c>
      <c r="C502" t="s">
        <v>66</v>
      </c>
      <c r="D502">
        <v>115</v>
      </c>
      <c r="E502" s="17" t="s">
        <v>31</v>
      </c>
      <c r="F502" s="18">
        <v>45071</v>
      </c>
      <c r="G502" s="2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581</v>
      </c>
      <c r="C503" t="s">
        <v>66</v>
      </c>
      <c r="D503">
        <v>117</v>
      </c>
      <c r="E503" s="17" t="s">
        <v>32</v>
      </c>
      <c r="F503" s="18">
        <v>45071</v>
      </c>
      <c r="G503" s="22">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582</v>
      </c>
      <c r="C504" t="s">
        <v>63</v>
      </c>
      <c r="D504">
        <v>110</v>
      </c>
      <c r="E504" s="17" t="s">
        <v>22</v>
      </c>
      <c r="F504" s="18">
        <v>45072</v>
      </c>
      <c r="G504" s="22">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583</v>
      </c>
      <c r="C505" t="s">
        <v>57</v>
      </c>
      <c r="D505">
        <v>103</v>
      </c>
      <c r="E505" s="17" t="s">
        <v>33</v>
      </c>
      <c r="F505" s="18">
        <v>45072</v>
      </c>
      <c r="G505" s="22">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584</v>
      </c>
      <c r="C506" t="s">
        <v>67</v>
      </c>
      <c r="D506">
        <v>45</v>
      </c>
      <c r="E506" s="17" t="s">
        <v>33</v>
      </c>
      <c r="F506" s="18">
        <v>45072</v>
      </c>
      <c r="G506" s="22">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585</v>
      </c>
      <c r="C507" t="s">
        <v>63</v>
      </c>
      <c r="D507">
        <v>110</v>
      </c>
      <c r="E507" s="17" t="s">
        <v>30</v>
      </c>
      <c r="F507" s="18">
        <v>45072</v>
      </c>
      <c r="G507" s="22">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586</v>
      </c>
      <c r="C508" t="s">
        <v>60</v>
      </c>
      <c r="D508">
        <v>43</v>
      </c>
      <c r="E508" s="17" t="s">
        <v>22</v>
      </c>
      <c r="F508" s="18">
        <v>45072</v>
      </c>
      <c r="G508" s="22">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587</v>
      </c>
      <c r="C509" t="s">
        <v>63</v>
      </c>
      <c r="D509">
        <v>104</v>
      </c>
      <c r="E509" s="17" t="s">
        <v>32</v>
      </c>
      <c r="F509" s="18">
        <v>45073</v>
      </c>
      <c r="G509" s="22">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588</v>
      </c>
      <c r="C510" t="s">
        <v>63</v>
      </c>
      <c r="D510">
        <v>101</v>
      </c>
      <c r="E510" s="17" t="s">
        <v>32</v>
      </c>
      <c r="F510" s="18">
        <v>45073</v>
      </c>
      <c r="G510" s="22">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589</v>
      </c>
      <c r="C511" t="s">
        <v>53</v>
      </c>
      <c r="D511">
        <v>55</v>
      </c>
      <c r="E511" s="17" t="s">
        <v>22</v>
      </c>
      <c r="F511" s="18">
        <v>45074</v>
      </c>
      <c r="G511" s="22">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590</v>
      </c>
      <c r="C512" t="s">
        <v>61</v>
      </c>
      <c r="D512">
        <v>40</v>
      </c>
      <c r="E512" s="17" t="s">
        <v>33</v>
      </c>
      <c r="F512" s="18">
        <v>45074</v>
      </c>
      <c r="G512" s="2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591</v>
      </c>
      <c r="C513" t="s">
        <v>60</v>
      </c>
      <c r="D513">
        <v>122</v>
      </c>
      <c r="E513" s="17" t="s">
        <v>31</v>
      </c>
      <c r="F513" s="18">
        <v>45074</v>
      </c>
      <c r="G513" s="22">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592</v>
      </c>
      <c r="C514" t="s">
        <v>55</v>
      </c>
      <c r="D514">
        <v>98</v>
      </c>
      <c r="E514" s="17" t="s">
        <v>32</v>
      </c>
      <c r="F514" s="18">
        <v>45075</v>
      </c>
      <c r="G514" s="22">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593</v>
      </c>
      <c r="C515" t="s">
        <v>66</v>
      </c>
      <c r="D515">
        <v>110</v>
      </c>
      <c r="E515" s="17" t="s">
        <v>33</v>
      </c>
      <c r="F515" s="18">
        <v>45075</v>
      </c>
      <c r="G515" s="22">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594</v>
      </c>
      <c r="C516" t="s">
        <v>66</v>
      </c>
      <c r="D516">
        <v>62</v>
      </c>
      <c r="E516" s="17" t="s">
        <v>22</v>
      </c>
      <c r="F516" s="18">
        <v>45076</v>
      </c>
      <c r="G516" s="22">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595</v>
      </c>
      <c r="C517" t="s">
        <v>60</v>
      </c>
      <c r="D517">
        <v>134</v>
      </c>
      <c r="E517" s="17" t="s">
        <v>31</v>
      </c>
      <c r="F517" s="18">
        <v>45076</v>
      </c>
      <c r="G517" s="22">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596</v>
      </c>
      <c r="C518" t="s">
        <v>62</v>
      </c>
      <c r="D518">
        <v>94</v>
      </c>
      <c r="E518" s="17" t="s">
        <v>30</v>
      </c>
      <c r="F518" s="18">
        <v>45076</v>
      </c>
      <c r="G518" s="22">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597</v>
      </c>
      <c r="C519" t="s">
        <v>58</v>
      </c>
      <c r="D519">
        <v>63</v>
      </c>
      <c r="E519" s="17" t="s">
        <v>33</v>
      </c>
      <c r="F519" s="18">
        <v>45076</v>
      </c>
      <c r="G519" s="22">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598</v>
      </c>
      <c r="C520" t="s">
        <v>65</v>
      </c>
      <c r="D520">
        <v>95</v>
      </c>
      <c r="E520" s="17" t="s">
        <v>31</v>
      </c>
      <c r="F520" s="18">
        <v>45076</v>
      </c>
      <c r="G520" s="22">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599</v>
      </c>
      <c r="C521" t="s">
        <v>60</v>
      </c>
      <c r="D521">
        <v>106</v>
      </c>
      <c r="E521" s="17" t="s">
        <v>31</v>
      </c>
      <c r="F521" s="18">
        <v>45077</v>
      </c>
      <c r="G521" s="22">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600</v>
      </c>
      <c r="C522" t="s">
        <v>67</v>
      </c>
      <c r="D522">
        <v>94</v>
      </c>
      <c r="E522" s="17" t="s">
        <v>30</v>
      </c>
      <c r="F522" s="18">
        <v>45077</v>
      </c>
      <c r="G522" s="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601</v>
      </c>
      <c r="C523" t="s">
        <v>67</v>
      </c>
      <c r="D523">
        <v>51</v>
      </c>
      <c r="E523" s="17" t="s">
        <v>30</v>
      </c>
      <c r="F523" s="18">
        <v>45078</v>
      </c>
      <c r="G523" s="22">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602</v>
      </c>
      <c r="C524" t="s">
        <v>59</v>
      </c>
      <c r="D524">
        <v>39</v>
      </c>
      <c r="E524" s="17" t="s">
        <v>30</v>
      </c>
      <c r="F524" s="18">
        <v>45078</v>
      </c>
      <c r="G524" s="22">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603</v>
      </c>
      <c r="C525" t="s">
        <v>61</v>
      </c>
      <c r="D525">
        <v>111</v>
      </c>
      <c r="E525" s="17" t="s">
        <v>31</v>
      </c>
      <c r="F525" s="18">
        <v>45078</v>
      </c>
      <c r="G525" s="22">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604</v>
      </c>
      <c r="C526" t="s">
        <v>56</v>
      </c>
      <c r="D526">
        <v>141</v>
      </c>
      <c r="E526" s="17" t="s">
        <v>22</v>
      </c>
      <c r="F526" s="18">
        <v>45080</v>
      </c>
      <c r="G526" s="22">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605</v>
      </c>
      <c r="C527" t="s">
        <v>58</v>
      </c>
      <c r="D527">
        <v>147</v>
      </c>
      <c r="E527" s="17" t="s">
        <v>31</v>
      </c>
      <c r="F527" s="18">
        <v>45080</v>
      </c>
      <c r="G527" s="22">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606</v>
      </c>
      <c r="C528" t="s">
        <v>62</v>
      </c>
      <c r="D528">
        <v>49</v>
      </c>
      <c r="E528" s="17" t="s">
        <v>30</v>
      </c>
      <c r="F528" s="18">
        <v>45081</v>
      </c>
      <c r="G528" s="22">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607</v>
      </c>
      <c r="C529" t="s">
        <v>64</v>
      </c>
      <c r="D529">
        <v>75</v>
      </c>
      <c r="E529" s="17" t="s">
        <v>31</v>
      </c>
      <c r="F529" s="18">
        <v>45081</v>
      </c>
      <c r="G529" s="22">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608</v>
      </c>
      <c r="C530" t="s">
        <v>56</v>
      </c>
      <c r="D530">
        <v>48</v>
      </c>
      <c r="E530" s="17" t="s">
        <v>22</v>
      </c>
      <c r="F530" s="18">
        <v>45082</v>
      </c>
      <c r="G530" s="22">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609</v>
      </c>
      <c r="C531" t="s">
        <v>66</v>
      </c>
      <c r="D531">
        <v>48</v>
      </c>
      <c r="E531" s="17" t="s">
        <v>22</v>
      </c>
      <c r="F531" s="18">
        <v>45082</v>
      </c>
      <c r="G531" s="22">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610</v>
      </c>
      <c r="C532" t="s">
        <v>54</v>
      </c>
      <c r="D532">
        <v>138</v>
      </c>
      <c r="E532" s="17" t="s">
        <v>30</v>
      </c>
      <c r="F532" s="18">
        <v>45082</v>
      </c>
      <c r="G532" s="2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611</v>
      </c>
      <c r="C533" t="s">
        <v>65</v>
      </c>
      <c r="D533">
        <v>144</v>
      </c>
      <c r="E533" s="17" t="s">
        <v>30</v>
      </c>
      <c r="F533" s="18">
        <v>45083</v>
      </c>
      <c r="G533" s="22">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612</v>
      </c>
      <c r="C534" t="s">
        <v>63</v>
      </c>
      <c r="D534">
        <v>119</v>
      </c>
      <c r="E534" s="17" t="s">
        <v>31</v>
      </c>
      <c r="F534" s="18">
        <v>45084</v>
      </c>
      <c r="G534" s="22">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613</v>
      </c>
      <c r="C535" t="s">
        <v>54</v>
      </c>
      <c r="D535">
        <v>101</v>
      </c>
      <c r="E535" s="17" t="s">
        <v>22</v>
      </c>
      <c r="F535" s="18">
        <v>45085</v>
      </c>
      <c r="G535" s="22">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614</v>
      </c>
      <c r="C536" t="s">
        <v>65</v>
      </c>
      <c r="D536">
        <v>59</v>
      </c>
      <c r="E536" s="17" t="s">
        <v>31</v>
      </c>
      <c r="F536" s="18">
        <v>45086</v>
      </c>
      <c r="G536" s="22">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615</v>
      </c>
      <c r="C537" t="s">
        <v>61</v>
      </c>
      <c r="D537">
        <v>125</v>
      </c>
      <c r="E537" s="17" t="s">
        <v>33</v>
      </c>
      <c r="F537" s="18">
        <v>45086</v>
      </c>
      <c r="G537" s="22">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616</v>
      </c>
      <c r="C538" t="s">
        <v>60</v>
      </c>
      <c r="D538">
        <v>147</v>
      </c>
      <c r="E538" s="17" t="s">
        <v>31</v>
      </c>
      <c r="F538" s="18">
        <v>45086</v>
      </c>
      <c r="G538" s="22">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617</v>
      </c>
      <c r="C539" t="s">
        <v>57</v>
      </c>
      <c r="D539">
        <v>76</v>
      </c>
      <c r="E539" s="17" t="s">
        <v>31</v>
      </c>
      <c r="F539" s="18">
        <v>45086</v>
      </c>
      <c r="G539" s="22">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618</v>
      </c>
      <c r="C540" t="s">
        <v>58</v>
      </c>
      <c r="D540">
        <v>99</v>
      </c>
      <c r="E540" s="17" t="s">
        <v>22</v>
      </c>
      <c r="F540" s="18">
        <v>45087</v>
      </c>
      <c r="G540" s="22">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619</v>
      </c>
      <c r="C541" t="s">
        <v>59</v>
      </c>
      <c r="D541">
        <v>111</v>
      </c>
      <c r="E541" s="17" t="s">
        <v>32</v>
      </c>
      <c r="F541" s="18">
        <v>45088</v>
      </c>
      <c r="G541" s="22">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620</v>
      </c>
      <c r="C542" t="s">
        <v>55</v>
      </c>
      <c r="D542">
        <v>147</v>
      </c>
      <c r="E542" s="17" t="s">
        <v>33</v>
      </c>
      <c r="F542" s="18">
        <v>45088</v>
      </c>
      <c r="G542" s="2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621</v>
      </c>
      <c r="C543" t="s">
        <v>53</v>
      </c>
      <c r="D543">
        <v>141</v>
      </c>
      <c r="E543" s="17" t="s">
        <v>22</v>
      </c>
      <c r="F543" s="18">
        <v>45088</v>
      </c>
      <c r="G543" s="22">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622</v>
      </c>
      <c r="C544" t="s">
        <v>57</v>
      </c>
      <c r="D544">
        <v>71</v>
      </c>
      <c r="E544" s="17" t="s">
        <v>31</v>
      </c>
      <c r="F544" s="18">
        <v>45089</v>
      </c>
      <c r="G544" s="22">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623</v>
      </c>
      <c r="C545" t="s">
        <v>57</v>
      </c>
      <c r="D545">
        <v>121</v>
      </c>
      <c r="E545" s="17" t="s">
        <v>33</v>
      </c>
      <c r="F545" s="18">
        <v>45090</v>
      </c>
      <c r="G545" s="22">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624</v>
      </c>
      <c r="C546" t="s">
        <v>57</v>
      </c>
      <c r="D546">
        <v>60</v>
      </c>
      <c r="E546" s="17" t="s">
        <v>33</v>
      </c>
      <c r="F546" s="18">
        <v>45090</v>
      </c>
      <c r="G546" s="22">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625</v>
      </c>
      <c r="C547" t="s">
        <v>62</v>
      </c>
      <c r="D547">
        <v>158</v>
      </c>
      <c r="E547" s="17" t="s">
        <v>22</v>
      </c>
      <c r="F547" s="18">
        <v>45091</v>
      </c>
      <c r="G547" s="22">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626</v>
      </c>
      <c r="C548" t="s">
        <v>60</v>
      </c>
      <c r="D548">
        <v>159</v>
      </c>
      <c r="E548" s="17" t="s">
        <v>30</v>
      </c>
      <c r="F548" s="18">
        <v>45091</v>
      </c>
      <c r="G548" s="22">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627</v>
      </c>
      <c r="C549" t="s">
        <v>54</v>
      </c>
      <c r="D549">
        <v>70</v>
      </c>
      <c r="E549" s="17" t="s">
        <v>31</v>
      </c>
      <c r="F549" s="18">
        <v>45092</v>
      </c>
      <c r="G549" s="22">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628</v>
      </c>
      <c r="C550" t="s">
        <v>56</v>
      </c>
      <c r="D550">
        <v>78</v>
      </c>
      <c r="E550" s="17" t="s">
        <v>32</v>
      </c>
      <c r="F550" s="18">
        <v>45092</v>
      </c>
      <c r="G550" s="22">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629</v>
      </c>
      <c r="C551" t="s">
        <v>55</v>
      </c>
      <c r="D551">
        <v>103</v>
      </c>
      <c r="E551" s="17" t="s">
        <v>31</v>
      </c>
      <c r="F551" s="18">
        <v>45092</v>
      </c>
      <c r="G551" s="22">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630</v>
      </c>
      <c r="C552" t="s">
        <v>64</v>
      </c>
      <c r="D552">
        <v>108</v>
      </c>
      <c r="E552" s="17" t="s">
        <v>22</v>
      </c>
      <c r="F552" s="18">
        <v>45092</v>
      </c>
      <c r="G552" s="2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631</v>
      </c>
      <c r="C553" t="s">
        <v>64</v>
      </c>
      <c r="D553">
        <v>44</v>
      </c>
      <c r="E553" s="17" t="s">
        <v>33</v>
      </c>
      <c r="F553" s="18">
        <v>45092</v>
      </c>
      <c r="G553" s="22">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632</v>
      </c>
      <c r="C554" t="s">
        <v>56</v>
      </c>
      <c r="D554">
        <v>127</v>
      </c>
      <c r="E554" s="17" t="s">
        <v>22</v>
      </c>
      <c r="F554" s="18">
        <v>45093</v>
      </c>
      <c r="G554" s="22">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633</v>
      </c>
      <c r="C555" t="s">
        <v>55</v>
      </c>
      <c r="D555">
        <v>132</v>
      </c>
      <c r="E555" s="17" t="s">
        <v>31</v>
      </c>
      <c r="F555" s="18">
        <v>45094</v>
      </c>
      <c r="G555" s="22">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634</v>
      </c>
      <c r="C556" t="s">
        <v>53</v>
      </c>
      <c r="D556">
        <v>106</v>
      </c>
      <c r="E556" s="17" t="s">
        <v>32</v>
      </c>
      <c r="F556" s="18">
        <v>45094</v>
      </c>
      <c r="G556" s="22">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635</v>
      </c>
      <c r="C557" t="s">
        <v>59</v>
      </c>
      <c r="D557">
        <v>107</v>
      </c>
      <c r="E557" s="17" t="s">
        <v>31</v>
      </c>
      <c r="F557" s="18">
        <v>45095</v>
      </c>
      <c r="G557" s="22">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636</v>
      </c>
      <c r="C558" t="s">
        <v>60</v>
      </c>
      <c r="D558">
        <v>85</v>
      </c>
      <c r="E558" s="17" t="s">
        <v>32</v>
      </c>
      <c r="F558" s="18">
        <v>45095</v>
      </c>
      <c r="G558" s="22">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637</v>
      </c>
      <c r="C559" t="s">
        <v>58</v>
      </c>
      <c r="D559">
        <v>49</v>
      </c>
      <c r="E559" s="17" t="s">
        <v>31</v>
      </c>
      <c r="F559" s="18">
        <v>45096</v>
      </c>
      <c r="G559" s="22">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638</v>
      </c>
      <c r="C560" t="s">
        <v>57</v>
      </c>
      <c r="D560">
        <v>117</v>
      </c>
      <c r="E560" s="17" t="s">
        <v>22</v>
      </c>
      <c r="F560" s="18">
        <v>45097</v>
      </c>
      <c r="G560" s="22">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639</v>
      </c>
      <c r="C561" t="s">
        <v>59</v>
      </c>
      <c r="D561">
        <v>136</v>
      </c>
      <c r="E561" s="17" t="s">
        <v>32</v>
      </c>
      <c r="F561" s="18">
        <v>45097</v>
      </c>
      <c r="G561" s="22">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640</v>
      </c>
      <c r="C562" t="s">
        <v>64</v>
      </c>
      <c r="D562">
        <v>130</v>
      </c>
      <c r="E562" s="17" t="s">
        <v>30</v>
      </c>
      <c r="F562" s="18">
        <v>45098</v>
      </c>
      <c r="G562" s="2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641</v>
      </c>
      <c r="C563" t="s">
        <v>64</v>
      </c>
      <c r="D563">
        <v>73</v>
      </c>
      <c r="E563" s="17" t="s">
        <v>30</v>
      </c>
      <c r="F563" s="18">
        <v>45098</v>
      </c>
      <c r="G563" s="22">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642</v>
      </c>
      <c r="C564" t="s">
        <v>58</v>
      </c>
      <c r="D564">
        <v>80</v>
      </c>
      <c r="E564" s="17" t="s">
        <v>31</v>
      </c>
      <c r="F564" s="18">
        <v>45098</v>
      </c>
      <c r="G564" s="22">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643</v>
      </c>
      <c r="C565" t="s">
        <v>63</v>
      </c>
      <c r="D565">
        <v>44</v>
      </c>
      <c r="E565" s="17" t="s">
        <v>22</v>
      </c>
      <c r="F565" s="18">
        <v>45098</v>
      </c>
      <c r="G565" s="22">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644</v>
      </c>
      <c r="C566" t="s">
        <v>63</v>
      </c>
      <c r="D566">
        <v>102</v>
      </c>
      <c r="E566" s="17" t="s">
        <v>33</v>
      </c>
      <c r="F566" s="18">
        <v>45098</v>
      </c>
      <c r="G566" s="22">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645</v>
      </c>
      <c r="C567" t="s">
        <v>62</v>
      </c>
      <c r="D567">
        <v>74</v>
      </c>
      <c r="E567" s="17" t="s">
        <v>33</v>
      </c>
      <c r="F567" s="18">
        <v>45098</v>
      </c>
      <c r="G567" s="22">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646</v>
      </c>
      <c r="C568" t="s">
        <v>58</v>
      </c>
      <c r="D568">
        <v>52</v>
      </c>
      <c r="E568" s="17" t="s">
        <v>22</v>
      </c>
      <c r="F568" s="18">
        <v>45100</v>
      </c>
      <c r="G568" s="22">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647</v>
      </c>
      <c r="C569" t="s">
        <v>58</v>
      </c>
      <c r="D569">
        <v>74</v>
      </c>
      <c r="E569" s="17" t="s">
        <v>30</v>
      </c>
      <c r="F569" s="18">
        <v>45100</v>
      </c>
      <c r="G569" s="22">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648</v>
      </c>
      <c r="C570" t="s">
        <v>64</v>
      </c>
      <c r="D570">
        <v>96</v>
      </c>
      <c r="E570" s="17" t="s">
        <v>33</v>
      </c>
      <c r="F570" s="18">
        <v>45100</v>
      </c>
      <c r="G570" s="22">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649</v>
      </c>
      <c r="C571" t="s">
        <v>61</v>
      </c>
      <c r="D571">
        <v>104</v>
      </c>
      <c r="E571" s="17" t="s">
        <v>31</v>
      </c>
      <c r="F571" s="18">
        <v>45100</v>
      </c>
      <c r="G571" s="22">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650</v>
      </c>
      <c r="C572" t="s">
        <v>64</v>
      </c>
      <c r="D572">
        <v>123</v>
      </c>
      <c r="E572" s="17" t="s">
        <v>33</v>
      </c>
      <c r="F572" s="18">
        <v>45101</v>
      </c>
      <c r="G572" s="2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651</v>
      </c>
      <c r="C573" t="s">
        <v>66</v>
      </c>
      <c r="D573">
        <v>100</v>
      </c>
      <c r="E573" s="17" t="s">
        <v>32</v>
      </c>
      <c r="F573" s="18">
        <v>45101</v>
      </c>
      <c r="G573" s="22">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652</v>
      </c>
      <c r="C574" t="s">
        <v>61</v>
      </c>
      <c r="D574">
        <v>35</v>
      </c>
      <c r="E574" s="17" t="s">
        <v>22</v>
      </c>
      <c r="F574" s="18">
        <v>45102</v>
      </c>
      <c r="G574" s="22">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653</v>
      </c>
      <c r="C575" t="s">
        <v>58</v>
      </c>
      <c r="D575">
        <v>123</v>
      </c>
      <c r="E575" s="17" t="s">
        <v>31</v>
      </c>
      <c r="F575" s="18">
        <v>45102</v>
      </c>
      <c r="G575" s="22">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654</v>
      </c>
      <c r="C576" t="s">
        <v>57</v>
      </c>
      <c r="D576">
        <v>133</v>
      </c>
      <c r="E576" s="17" t="s">
        <v>22</v>
      </c>
      <c r="F576" s="18">
        <v>45103</v>
      </c>
      <c r="G576" s="22">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655</v>
      </c>
      <c r="C577" t="s">
        <v>64</v>
      </c>
      <c r="D577">
        <v>126</v>
      </c>
      <c r="E577" s="17" t="s">
        <v>30</v>
      </c>
      <c r="F577" s="18">
        <v>45103</v>
      </c>
      <c r="G577" s="22">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656</v>
      </c>
      <c r="C578" t="s">
        <v>58</v>
      </c>
      <c r="D578">
        <v>39</v>
      </c>
      <c r="E578" s="17" t="s">
        <v>33</v>
      </c>
      <c r="F578" s="18">
        <v>45103</v>
      </c>
      <c r="G578" s="22">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657</v>
      </c>
      <c r="C579" t="s">
        <v>62</v>
      </c>
      <c r="D579">
        <v>31</v>
      </c>
      <c r="E579" s="17" t="s">
        <v>31</v>
      </c>
      <c r="F579" s="18">
        <v>45103</v>
      </c>
      <c r="G579" s="22">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658</v>
      </c>
      <c r="C580" t="s">
        <v>55</v>
      </c>
      <c r="D580">
        <v>25</v>
      </c>
      <c r="E580" s="17" t="s">
        <v>22</v>
      </c>
      <c r="F580" s="18">
        <v>45103</v>
      </c>
      <c r="G580" s="22">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659</v>
      </c>
      <c r="C581" t="s">
        <v>54</v>
      </c>
      <c r="D581">
        <v>132</v>
      </c>
      <c r="E581" s="17" t="s">
        <v>32</v>
      </c>
      <c r="F581" s="18">
        <v>45104</v>
      </c>
      <c r="G581" s="22">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660</v>
      </c>
      <c r="C582" t="s">
        <v>61</v>
      </c>
      <c r="D582">
        <v>63</v>
      </c>
      <c r="E582" s="17" t="s">
        <v>30</v>
      </c>
      <c r="F582" s="18">
        <v>45104</v>
      </c>
      <c r="G582" s="2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661</v>
      </c>
      <c r="C583" t="s">
        <v>66</v>
      </c>
      <c r="D583">
        <v>135</v>
      </c>
      <c r="E583" s="17" t="s">
        <v>32</v>
      </c>
      <c r="F583" s="18">
        <v>45104</v>
      </c>
      <c r="G583" s="22">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662</v>
      </c>
      <c r="C584" t="s">
        <v>60</v>
      </c>
      <c r="D584">
        <v>101</v>
      </c>
      <c r="E584" s="17" t="s">
        <v>30</v>
      </c>
      <c r="F584" s="18">
        <v>45104</v>
      </c>
      <c r="G584" s="22">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663</v>
      </c>
      <c r="C585" t="s">
        <v>57</v>
      </c>
      <c r="D585">
        <v>80</v>
      </c>
      <c r="E585" s="17" t="s">
        <v>33</v>
      </c>
      <c r="F585" s="18">
        <v>45105</v>
      </c>
      <c r="G585" s="22">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664</v>
      </c>
      <c r="C586" t="s">
        <v>63</v>
      </c>
      <c r="D586">
        <v>28</v>
      </c>
      <c r="E586" s="17" t="s">
        <v>33</v>
      </c>
      <c r="F586" s="18">
        <v>45105</v>
      </c>
      <c r="G586" s="22">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665</v>
      </c>
      <c r="C587" t="s">
        <v>60</v>
      </c>
      <c r="D587">
        <v>102</v>
      </c>
      <c r="E587" s="17" t="s">
        <v>32</v>
      </c>
      <c r="F587" s="18">
        <v>45106</v>
      </c>
      <c r="G587" s="22">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666</v>
      </c>
      <c r="C588" t="s">
        <v>61</v>
      </c>
      <c r="D588">
        <v>60</v>
      </c>
      <c r="E588" s="17" t="s">
        <v>32</v>
      </c>
      <c r="F588" s="18">
        <v>45107</v>
      </c>
      <c r="G588" s="22">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667</v>
      </c>
      <c r="C589" t="s">
        <v>67</v>
      </c>
      <c r="D589">
        <v>103</v>
      </c>
      <c r="E589" s="17" t="s">
        <v>32</v>
      </c>
      <c r="F589" s="18">
        <v>45107</v>
      </c>
      <c r="G589" s="22">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668</v>
      </c>
      <c r="C590" t="s">
        <v>57</v>
      </c>
      <c r="D590">
        <v>90</v>
      </c>
      <c r="E590" s="17" t="s">
        <v>33</v>
      </c>
      <c r="F590" s="18">
        <v>45108</v>
      </c>
      <c r="G590" s="22">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669</v>
      </c>
      <c r="C591" t="s">
        <v>56</v>
      </c>
      <c r="D591">
        <v>88</v>
      </c>
      <c r="E591" s="17" t="s">
        <v>32</v>
      </c>
      <c r="F591" s="18">
        <v>45108</v>
      </c>
      <c r="G591" s="22">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670</v>
      </c>
      <c r="C592" t="s">
        <v>67</v>
      </c>
      <c r="D592">
        <v>37</v>
      </c>
      <c r="E592" s="17" t="s">
        <v>32</v>
      </c>
      <c r="F592" s="18">
        <v>45108</v>
      </c>
      <c r="G592" s="2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671</v>
      </c>
      <c r="C593" t="s">
        <v>63</v>
      </c>
      <c r="D593">
        <v>142</v>
      </c>
      <c r="E593" s="17" t="s">
        <v>33</v>
      </c>
      <c r="F593" s="18">
        <v>45108</v>
      </c>
      <c r="G593" s="22">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672</v>
      </c>
      <c r="C594" t="s">
        <v>63</v>
      </c>
      <c r="D594">
        <v>153</v>
      </c>
      <c r="E594" s="17" t="s">
        <v>22</v>
      </c>
      <c r="F594" s="18">
        <v>45108</v>
      </c>
      <c r="G594" s="22">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673</v>
      </c>
      <c r="C595" t="s">
        <v>65</v>
      </c>
      <c r="D595">
        <v>128</v>
      </c>
      <c r="E595" s="17" t="s">
        <v>30</v>
      </c>
      <c r="F595" s="18">
        <v>45108</v>
      </c>
      <c r="G595" s="22">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674</v>
      </c>
      <c r="C596" t="s">
        <v>61</v>
      </c>
      <c r="D596">
        <v>110</v>
      </c>
      <c r="E596" s="17" t="s">
        <v>30</v>
      </c>
      <c r="F596" s="18">
        <v>45109</v>
      </c>
      <c r="G596" s="22">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675</v>
      </c>
      <c r="C597" t="s">
        <v>65</v>
      </c>
      <c r="D597">
        <v>139</v>
      </c>
      <c r="E597" s="17" t="s">
        <v>32</v>
      </c>
      <c r="F597" s="18">
        <v>45109</v>
      </c>
      <c r="G597" s="22">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676</v>
      </c>
      <c r="C598" t="s">
        <v>60</v>
      </c>
      <c r="D598">
        <v>109</v>
      </c>
      <c r="E598" s="17" t="s">
        <v>31</v>
      </c>
      <c r="F598" s="18">
        <v>45111</v>
      </c>
      <c r="G598" s="22">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677</v>
      </c>
      <c r="C599" t="s">
        <v>54</v>
      </c>
      <c r="D599">
        <v>57</v>
      </c>
      <c r="E599" s="17" t="s">
        <v>33</v>
      </c>
      <c r="F599" s="18">
        <v>45112</v>
      </c>
      <c r="G599" s="22">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678</v>
      </c>
      <c r="C600" t="s">
        <v>60</v>
      </c>
      <c r="D600">
        <v>68</v>
      </c>
      <c r="E600" s="17" t="s">
        <v>32</v>
      </c>
      <c r="F600" s="18">
        <v>45112</v>
      </c>
      <c r="G600" s="22">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679</v>
      </c>
      <c r="C601" t="s">
        <v>55</v>
      </c>
      <c r="D601">
        <v>128</v>
      </c>
      <c r="E601" s="17" t="s">
        <v>32</v>
      </c>
      <c r="F601" s="18">
        <v>45112</v>
      </c>
      <c r="G601" s="22">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680</v>
      </c>
      <c r="C602" t="s">
        <v>53</v>
      </c>
      <c r="D602">
        <v>102</v>
      </c>
      <c r="E602" s="17" t="s">
        <v>33</v>
      </c>
      <c r="F602" s="18">
        <v>45113</v>
      </c>
      <c r="G602" s="2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681</v>
      </c>
      <c r="C603" t="s">
        <v>65</v>
      </c>
      <c r="D603">
        <v>52</v>
      </c>
      <c r="E603" s="17" t="s">
        <v>22</v>
      </c>
      <c r="F603" s="18">
        <v>45113</v>
      </c>
      <c r="G603" s="22">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682</v>
      </c>
      <c r="C604" t="s">
        <v>55</v>
      </c>
      <c r="D604">
        <v>55</v>
      </c>
      <c r="E604" s="17" t="s">
        <v>30</v>
      </c>
      <c r="F604" s="18">
        <v>45114</v>
      </c>
      <c r="G604" s="22">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683</v>
      </c>
      <c r="C605" t="s">
        <v>67</v>
      </c>
      <c r="D605">
        <v>107</v>
      </c>
      <c r="E605" s="17" t="s">
        <v>32</v>
      </c>
      <c r="F605" s="18">
        <v>45114</v>
      </c>
      <c r="G605" s="22">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684</v>
      </c>
      <c r="C606" t="s">
        <v>57</v>
      </c>
      <c r="D606">
        <v>88</v>
      </c>
      <c r="E606" s="17" t="s">
        <v>22</v>
      </c>
      <c r="F606" s="18">
        <v>45115</v>
      </c>
      <c r="G606" s="22">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685</v>
      </c>
      <c r="C607" t="s">
        <v>58</v>
      </c>
      <c r="D607">
        <v>49</v>
      </c>
      <c r="E607" s="17" t="s">
        <v>22</v>
      </c>
      <c r="F607" s="18">
        <v>45115</v>
      </c>
      <c r="G607" s="22">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686</v>
      </c>
      <c r="C608" t="s">
        <v>57</v>
      </c>
      <c r="D608">
        <v>72</v>
      </c>
      <c r="E608" s="17" t="s">
        <v>33</v>
      </c>
      <c r="F608" s="18">
        <v>45115</v>
      </c>
      <c r="G608" s="22">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687</v>
      </c>
      <c r="C609" t="s">
        <v>54</v>
      </c>
      <c r="D609">
        <v>50</v>
      </c>
      <c r="E609" s="17" t="s">
        <v>33</v>
      </c>
      <c r="F609" s="18">
        <v>45115</v>
      </c>
      <c r="G609" s="22">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688</v>
      </c>
      <c r="C610" t="s">
        <v>57</v>
      </c>
      <c r="D610">
        <v>52</v>
      </c>
      <c r="E610" s="17" t="s">
        <v>32</v>
      </c>
      <c r="F610" s="18">
        <v>45115</v>
      </c>
      <c r="G610" s="22">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689</v>
      </c>
      <c r="C611" t="s">
        <v>64</v>
      </c>
      <c r="D611">
        <v>85</v>
      </c>
      <c r="E611" s="17" t="s">
        <v>31</v>
      </c>
      <c r="F611" s="18">
        <v>45116</v>
      </c>
      <c r="G611" s="22">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690</v>
      </c>
      <c r="C612" t="s">
        <v>66</v>
      </c>
      <c r="D612">
        <v>98</v>
      </c>
      <c r="E612" s="17" t="s">
        <v>31</v>
      </c>
      <c r="F612" s="18">
        <v>45117</v>
      </c>
      <c r="G612" s="2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691</v>
      </c>
      <c r="C613" t="s">
        <v>62</v>
      </c>
      <c r="D613">
        <v>52</v>
      </c>
      <c r="E613" s="17" t="s">
        <v>31</v>
      </c>
      <c r="F613" s="18">
        <v>45117</v>
      </c>
      <c r="G613" s="22">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692</v>
      </c>
      <c r="C614" t="s">
        <v>55</v>
      </c>
      <c r="D614">
        <v>154</v>
      </c>
      <c r="E614" s="17" t="s">
        <v>22</v>
      </c>
      <c r="F614" s="18">
        <v>45117</v>
      </c>
      <c r="G614" s="22">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693</v>
      </c>
      <c r="C615" t="s">
        <v>59</v>
      </c>
      <c r="D615">
        <v>131</v>
      </c>
      <c r="E615" s="17" t="s">
        <v>30</v>
      </c>
      <c r="F615" s="18">
        <v>45118</v>
      </c>
      <c r="G615" s="22">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694</v>
      </c>
      <c r="C616" t="s">
        <v>64</v>
      </c>
      <c r="D616">
        <v>73</v>
      </c>
      <c r="E616" s="17" t="s">
        <v>30</v>
      </c>
      <c r="F616" s="18">
        <v>45119</v>
      </c>
      <c r="G616" s="22">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695</v>
      </c>
      <c r="C617" t="s">
        <v>61</v>
      </c>
      <c r="D617">
        <v>45</v>
      </c>
      <c r="E617" s="17" t="s">
        <v>31</v>
      </c>
      <c r="F617" s="18">
        <v>45119</v>
      </c>
      <c r="G617" s="22">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696</v>
      </c>
      <c r="C618" t="s">
        <v>65</v>
      </c>
      <c r="D618">
        <v>114</v>
      </c>
      <c r="E618" s="17" t="s">
        <v>32</v>
      </c>
      <c r="F618" s="18">
        <v>45119</v>
      </c>
      <c r="G618" s="22">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697</v>
      </c>
      <c r="C619" t="s">
        <v>66</v>
      </c>
      <c r="D619">
        <v>69</v>
      </c>
      <c r="E619" s="17" t="s">
        <v>30</v>
      </c>
      <c r="F619" s="18">
        <v>45120</v>
      </c>
      <c r="G619" s="22">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698</v>
      </c>
      <c r="C620" t="s">
        <v>59</v>
      </c>
      <c r="D620">
        <v>33</v>
      </c>
      <c r="E620" s="17" t="s">
        <v>22</v>
      </c>
      <c r="F620" s="18">
        <v>45120</v>
      </c>
      <c r="G620" s="22">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699</v>
      </c>
      <c r="C621" t="s">
        <v>54</v>
      </c>
      <c r="D621">
        <v>31</v>
      </c>
      <c r="E621" s="17" t="s">
        <v>33</v>
      </c>
      <c r="F621" s="18">
        <v>45121</v>
      </c>
      <c r="G621" s="22">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700</v>
      </c>
      <c r="C622" t="s">
        <v>61</v>
      </c>
      <c r="D622">
        <v>168</v>
      </c>
      <c r="E622" s="17" t="s">
        <v>22</v>
      </c>
      <c r="F622" s="18">
        <v>45121</v>
      </c>
      <c r="G622" s="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701</v>
      </c>
      <c r="C623" t="s">
        <v>64</v>
      </c>
      <c r="D623">
        <v>111</v>
      </c>
      <c r="E623" s="17" t="s">
        <v>32</v>
      </c>
      <c r="F623" s="18">
        <v>45122</v>
      </c>
      <c r="G623" s="22">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702</v>
      </c>
      <c r="C624" t="s">
        <v>54</v>
      </c>
      <c r="D624">
        <v>80</v>
      </c>
      <c r="E624" s="17" t="s">
        <v>22</v>
      </c>
      <c r="F624" s="18">
        <v>45123</v>
      </c>
      <c r="G624" s="22">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703</v>
      </c>
      <c r="C625" t="s">
        <v>53</v>
      </c>
      <c r="D625">
        <v>37</v>
      </c>
      <c r="E625" s="17" t="s">
        <v>22</v>
      </c>
      <c r="F625" s="18">
        <v>45123</v>
      </c>
      <c r="G625" s="22">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704</v>
      </c>
      <c r="C626" t="s">
        <v>63</v>
      </c>
      <c r="D626">
        <v>137</v>
      </c>
      <c r="E626" s="17" t="s">
        <v>22</v>
      </c>
      <c r="F626" s="18">
        <v>45124</v>
      </c>
      <c r="G626" s="22">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705</v>
      </c>
      <c r="C627" t="s">
        <v>66</v>
      </c>
      <c r="D627">
        <v>123</v>
      </c>
      <c r="E627" s="17" t="s">
        <v>32</v>
      </c>
      <c r="F627" s="18">
        <v>45124</v>
      </c>
      <c r="G627" s="22">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706</v>
      </c>
      <c r="C628" t="s">
        <v>56</v>
      </c>
      <c r="D628">
        <v>105</v>
      </c>
      <c r="E628" s="17" t="s">
        <v>32</v>
      </c>
      <c r="F628" s="18">
        <v>45125</v>
      </c>
      <c r="G628" s="22">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707</v>
      </c>
      <c r="C629" t="s">
        <v>53</v>
      </c>
      <c r="D629">
        <v>76</v>
      </c>
      <c r="E629" s="17" t="s">
        <v>31</v>
      </c>
      <c r="F629" s="18">
        <v>45126</v>
      </c>
      <c r="G629" s="22">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708</v>
      </c>
      <c r="C630" t="s">
        <v>54</v>
      </c>
      <c r="D630">
        <v>144</v>
      </c>
      <c r="E630" s="17" t="s">
        <v>31</v>
      </c>
      <c r="F630" s="18">
        <v>45126</v>
      </c>
      <c r="G630" s="22">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709</v>
      </c>
      <c r="C631" t="s">
        <v>59</v>
      </c>
      <c r="D631">
        <v>109</v>
      </c>
      <c r="E631" s="17" t="s">
        <v>33</v>
      </c>
      <c r="F631" s="18">
        <v>45126</v>
      </c>
      <c r="G631" s="22">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710</v>
      </c>
      <c r="C632" t="s">
        <v>66</v>
      </c>
      <c r="D632">
        <v>172</v>
      </c>
      <c r="E632" s="17" t="s">
        <v>22</v>
      </c>
      <c r="F632" s="18">
        <v>45127</v>
      </c>
      <c r="G632" s="2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711</v>
      </c>
      <c r="C633" t="s">
        <v>54</v>
      </c>
      <c r="D633">
        <v>56</v>
      </c>
      <c r="E633" s="17" t="s">
        <v>32</v>
      </c>
      <c r="F633" s="18">
        <v>45127</v>
      </c>
      <c r="G633" s="22">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712</v>
      </c>
      <c r="C634" t="s">
        <v>54</v>
      </c>
      <c r="D634">
        <v>121</v>
      </c>
      <c r="E634" s="17" t="s">
        <v>30</v>
      </c>
      <c r="F634" s="18">
        <v>45127</v>
      </c>
      <c r="G634" s="22">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713</v>
      </c>
      <c r="C635" t="s">
        <v>66</v>
      </c>
      <c r="D635">
        <v>41</v>
      </c>
      <c r="E635" s="17" t="s">
        <v>32</v>
      </c>
      <c r="F635" s="18">
        <v>45128</v>
      </c>
      <c r="G635" s="22">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714</v>
      </c>
      <c r="C636" t="s">
        <v>67</v>
      </c>
      <c r="D636">
        <v>60</v>
      </c>
      <c r="E636" s="17" t="s">
        <v>22</v>
      </c>
      <c r="F636" s="18">
        <v>45128</v>
      </c>
      <c r="G636" s="22">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715</v>
      </c>
      <c r="C637" t="s">
        <v>67</v>
      </c>
      <c r="D637">
        <v>144</v>
      </c>
      <c r="E637" s="17" t="s">
        <v>22</v>
      </c>
      <c r="F637" s="18">
        <v>45129</v>
      </c>
      <c r="G637" s="22">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716</v>
      </c>
      <c r="C638" t="s">
        <v>55</v>
      </c>
      <c r="D638">
        <v>67</v>
      </c>
      <c r="E638" s="17" t="s">
        <v>22</v>
      </c>
      <c r="F638" s="18">
        <v>45129</v>
      </c>
      <c r="G638" s="22">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717</v>
      </c>
      <c r="C639" t="s">
        <v>66</v>
      </c>
      <c r="D639">
        <v>162</v>
      </c>
      <c r="E639" s="17" t="s">
        <v>33</v>
      </c>
      <c r="F639" s="18">
        <v>45129</v>
      </c>
      <c r="G639" s="22">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718</v>
      </c>
      <c r="C640" t="s">
        <v>67</v>
      </c>
      <c r="D640">
        <v>87</v>
      </c>
      <c r="E640" s="17" t="s">
        <v>30</v>
      </c>
      <c r="F640" s="18">
        <v>45132</v>
      </c>
      <c r="G640" s="22">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719</v>
      </c>
      <c r="C641" t="s">
        <v>62</v>
      </c>
      <c r="D641">
        <v>10</v>
      </c>
      <c r="E641" s="17" t="s">
        <v>31</v>
      </c>
      <c r="F641" s="18">
        <v>45133</v>
      </c>
      <c r="G641" s="22">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720</v>
      </c>
      <c r="C642" t="s">
        <v>54</v>
      </c>
      <c r="D642">
        <v>138</v>
      </c>
      <c r="E642" s="17" t="s">
        <v>31</v>
      </c>
      <c r="F642" s="18">
        <v>45133</v>
      </c>
      <c r="G642" s="2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721</v>
      </c>
      <c r="C643" t="s">
        <v>66</v>
      </c>
      <c r="D643">
        <v>31</v>
      </c>
      <c r="E643" s="17" t="s">
        <v>31</v>
      </c>
      <c r="F643" s="18">
        <v>45134</v>
      </c>
      <c r="G643" s="22">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722</v>
      </c>
      <c r="C644" t="s">
        <v>56</v>
      </c>
      <c r="D644">
        <v>75</v>
      </c>
      <c r="E644" s="17" t="s">
        <v>33</v>
      </c>
      <c r="F644" s="18">
        <v>45134</v>
      </c>
      <c r="G644" s="22">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723</v>
      </c>
      <c r="C645" t="s">
        <v>53</v>
      </c>
      <c r="D645">
        <v>65</v>
      </c>
      <c r="E645" s="17" t="s">
        <v>33</v>
      </c>
      <c r="F645" s="18">
        <v>45135</v>
      </c>
      <c r="G645" s="22">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724</v>
      </c>
      <c r="C646" t="s">
        <v>64</v>
      </c>
      <c r="D646">
        <v>106</v>
      </c>
      <c r="E646" s="17" t="s">
        <v>32</v>
      </c>
      <c r="F646" s="18">
        <v>45135</v>
      </c>
      <c r="G646" s="22">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725</v>
      </c>
      <c r="C647" t="s">
        <v>53</v>
      </c>
      <c r="D647">
        <v>107</v>
      </c>
      <c r="E647" s="17" t="s">
        <v>32</v>
      </c>
      <c r="F647" s="18">
        <v>45136</v>
      </c>
      <c r="G647" s="22">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726</v>
      </c>
      <c r="C648" t="s">
        <v>63</v>
      </c>
      <c r="D648">
        <v>78</v>
      </c>
      <c r="E648" s="17" t="s">
        <v>32</v>
      </c>
      <c r="F648" s="18">
        <v>45138</v>
      </c>
      <c r="G648" s="22">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727</v>
      </c>
      <c r="C649" t="s">
        <v>57</v>
      </c>
      <c r="D649">
        <v>122</v>
      </c>
      <c r="E649" s="17" t="s">
        <v>32</v>
      </c>
      <c r="F649" s="18">
        <v>45138</v>
      </c>
      <c r="G649" s="22">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728</v>
      </c>
      <c r="C650" t="s">
        <v>54</v>
      </c>
      <c r="D650">
        <v>58</v>
      </c>
      <c r="E650" s="17" t="s">
        <v>31</v>
      </c>
      <c r="F650" s="18">
        <v>45138</v>
      </c>
      <c r="G650" s="22">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729</v>
      </c>
      <c r="C651" t="s">
        <v>63</v>
      </c>
      <c r="D651">
        <v>33</v>
      </c>
      <c r="E651" s="17" t="s">
        <v>22</v>
      </c>
      <c r="F651" s="18">
        <v>45138</v>
      </c>
      <c r="G651" s="22">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730</v>
      </c>
      <c r="C652" t="s">
        <v>59</v>
      </c>
      <c r="D652">
        <v>164</v>
      </c>
      <c r="E652" s="17" t="s">
        <v>33</v>
      </c>
      <c r="F652" s="18">
        <v>45138</v>
      </c>
      <c r="G652" s="2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731</v>
      </c>
      <c r="C653" t="s">
        <v>56</v>
      </c>
      <c r="D653">
        <v>163</v>
      </c>
      <c r="E653" s="17" t="s">
        <v>30</v>
      </c>
      <c r="F653" s="18">
        <v>45138</v>
      </c>
      <c r="G653" s="22">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732</v>
      </c>
      <c r="C654" t="s">
        <v>58</v>
      </c>
      <c r="D654">
        <v>71</v>
      </c>
      <c r="E654" s="17" t="s">
        <v>33</v>
      </c>
      <c r="F654" s="18">
        <v>45140</v>
      </c>
      <c r="G654" s="22">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733</v>
      </c>
      <c r="C655" t="s">
        <v>63</v>
      </c>
      <c r="D655">
        <v>103</v>
      </c>
      <c r="E655" s="17" t="s">
        <v>31</v>
      </c>
      <c r="F655" s="18">
        <v>45141</v>
      </c>
      <c r="G655" s="22">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734</v>
      </c>
      <c r="C656" t="s">
        <v>65</v>
      </c>
      <c r="D656">
        <v>69</v>
      </c>
      <c r="E656" s="17" t="s">
        <v>30</v>
      </c>
      <c r="F656" s="18">
        <v>45141</v>
      </c>
      <c r="G656" s="22">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735</v>
      </c>
      <c r="C657" t="s">
        <v>56</v>
      </c>
      <c r="D657">
        <v>111</v>
      </c>
      <c r="E657" s="17" t="s">
        <v>31</v>
      </c>
      <c r="F657" s="18">
        <v>45141</v>
      </c>
      <c r="G657" s="22">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736</v>
      </c>
      <c r="C658" t="s">
        <v>60</v>
      </c>
      <c r="D658">
        <v>97</v>
      </c>
      <c r="E658" s="17" t="s">
        <v>30</v>
      </c>
      <c r="F658" s="18">
        <v>45142</v>
      </c>
      <c r="G658" s="22">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737</v>
      </c>
      <c r="C659" t="s">
        <v>61</v>
      </c>
      <c r="D659">
        <v>144</v>
      </c>
      <c r="E659" s="17" t="s">
        <v>32</v>
      </c>
      <c r="F659" s="18">
        <v>45142</v>
      </c>
      <c r="G659" s="22">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738</v>
      </c>
      <c r="C660" t="s">
        <v>64</v>
      </c>
      <c r="D660">
        <v>56</v>
      </c>
      <c r="E660" s="17" t="s">
        <v>30</v>
      </c>
      <c r="F660" s="18">
        <v>45143</v>
      </c>
      <c r="G660" s="22">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739</v>
      </c>
      <c r="C661" t="s">
        <v>61</v>
      </c>
      <c r="D661">
        <v>132</v>
      </c>
      <c r="E661" s="17" t="s">
        <v>32</v>
      </c>
      <c r="F661" s="18">
        <v>45144</v>
      </c>
      <c r="G661" s="22">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740</v>
      </c>
      <c r="C662" t="s">
        <v>58</v>
      </c>
      <c r="D662">
        <v>72</v>
      </c>
      <c r="E662" s="17" t="s">
        <v>22</v>
      </c>
      <c r="F662" s="18">
        <v>45144</v>
      </c>
      <c r="G662" s="2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741</v>
      </c>
      <c r="C663" t="s">
        <v>56</v>
      </c>
      <c r="D663">
        <v>18</v>
      </c>
      <c r="E663" s="17" t="s">
        <v>22</v>
      </c>
      <c r="F663" s="18">
        <v>45144</v>
      </c>
      <c r="G663" s="22">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742</v>
      </c>
      <c r="C664" t="s">
        <v>55</v>
      </c>
      <c r="D664">
        <v>115</v>
      </c>
      <c r="E664" s="17" t="s">
        <v>31</v>
      </c>
      <c r="F664" s="18">
        <v>45145</v>
      </c>
      <c r="G664" s="22">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743</v>
      </c>
      <c r="C665" t="s">
        <v>55</v>
      </c>
      <c r="D665">
        <v>124</v>
      </c>
      <c r="E665" s="17" t="s">
        <v>30</v>
      </c>
      <c r="F665" s="18">
        <v>45146</v>
      </c>
      <c r="G665" s="22">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744</v>
      </c>
      <c r="C666" t="s">
        <v>54</v>
      </c>
      <c r="D666">
        <v>130</v>
      </c>
      <c r="E666" s="17" t="s">
        <v>30</v>
      </c>
      <c r="F666" s="18">
        <v>45146</v>
      </c>
      <c r="G666" s="22">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745</v>
      </c>
      <c r="C667" t="s">
        <v>62</v>
      </c>
      <c r="D667">
        <v>120</v>
      </c>
      <c r="E667" s="17" t="s">
        <v>33</v>
      </c>
      <c r="F667" s="18">
        <v>45148</v>
      </c>
      <c r="G667" s="22">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746</v>
      </c>
      <c r="C668" t="s">
        <v>60</v>
      </c>
      <c r="D668">
        <v>75</v>
      </c>
      <c r="E668" s="17" t="s">
        <v>31</v>
      </c>
      <c r="F668" s="18">
        <v>45148</v>
      </c>
      <c r="G668" s="22">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747</v>
      </c>
      <c r="C669" t="s">
        <v>53</v>
      </c>
      <c r="D669">
        <v>63</v>
      </c>
      <c r="E669" s="17" t="s">
        <v>31</v>
      </c>
      <c r="F669" s="18">
        <v>45148</v>
      </c>
      <c r="G669" s="22">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748</v>
      </c>
      <c r="C670" t="s">
        <v>61</v>
      </c>
      <c r="D670">
        <v>74</v>
      </c>
      <c r="E670" s="17" t="s">
        <v>31</v>
      </c>
      <c r="F670" s="18">
        <v>45150</v>
      </c>
      <c r="G670" s="22">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749</v>
      </c>
      <c r="C671" t="s">
        <v>65</v>
      </c>
      <c r="D671">
        <v>134</v>
      </c>
      <c r="E671" s="17" t="s">
        <v>32</v>
      </c>
      <c r="F671" s="18">
        <v>45151</v>
      </c>
      <c r="G671" s="22">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750</v>
      </c>
      <c r="C672" t="s">
        <v>56</v>
      </c>
      <c r="D672">
        <v>103</v>
      </c>
      <c r="E672" s="17" t="s">
        <v>30</v>
      </c>
      <c r="F672" s="18">
        <v>45151</v>
      </c>
      <c r="G672" s="2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751</v>
      </c>
      <c r="C673" t="s">
        <v>56</v>
      </c>
      <c r="D673">
        <v>155</v>
      </c>
      <c r="E673" s="17" t="s">
        <v>33</v>
      </c>
      <c r="F673" s="18">
        <v>45154</v>
      </c>
      <c r="G673" s="22">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752</v>
      </c>
      <c r="C674" t="s">
        <v>53</v>
      </c>
      <c r="D674">
        <v>128</v>
      </c>
      <c r="E674" s="17" t="s">
        <v>30</v>
      </c>
      <c r="F674" s="18">
        <v>45155</v>
      </c>
      <c r="G674" s="22">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753</v>
      </c>
      <c r="C675" t="s">
        <v>60</v>
      </c>
      <c r="D675">
        <v>89</v>
      </c>
      <c r="E675" s="17" t="s">
        <v>32</v>
      </c>
      <c r="F675" s="18">
        <v>45156</v>
      </c>
      <c r="G675" s="22">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754</v>
      </c>
      <c r="C676" t="s">
        <v>55</v>
      </c>
      <c r="D676">
        <v>81</v>
      </c>
      <c r="E676" s="17" t="s">
        <v>33</v>
      </c>
      <c r="F676" s="18">
        <v>45156</v>
      </c>
      <c r="G676" s="22">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755</v>
      </c>
      <c r="C677" t="s">
        <v>60</v>
      </c>
      <c r="D677">
        <v>66</v>
      </c>
      <c r="E677" s="17" t="s">
        <v>32</v>
      </c>
      <c r="F677" s="18">
        <v>45157</v>
      </c>
      <c r="G677" s="22">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756</v>
      </c>
      <c r="C678" t="s">
        <v>58</v>
      </c>
      <c r="D678">
        <v>61</v>
      </c>
      <c r="E678" s="17" t="s">
        <v>22</v>
      </c>
      <c r="F678" s="18">
        <v>45157</v>
      </c>
      <c r="G678" s="22">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757</v>
      </c>
      <c r="C679" t="s">
        <v>55</v>
      </c>
      <c r="D679">
        <v>128</v>
      </c>
      <c r="E679" s="17" t="s">
        <v>22</v>
      </c>
      <c r="F679" s="18">
        <v>45157</v>
      </c>
      <c r="G679" s="22">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758</v>
      </c>
      <c r="C680" t="s">
        <v>56</v>
      </c>
      <c r="D680">
        <v>30</v>
      </c>
      <c r="E680" s="17" t="s">
        <v>33</v>
      </c>
      <c r="F680" s="18">
        <v>45157</v>
      </c>
      <c r="G680" s="22">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759</v>
      </c>
      <c r="C681" t="s">
        <v>59</v>
      </c>
      <c r="D681">
        <v>63</v>
      </c>
      <c r="E681" s="17" t="s">
        <v>22</v>
      </c>
      <c r="F681" s="18">
        <v>45158</v>
      </c>
      <c r="G681" s="22">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760</v>
      </c>
      <c r="C682" t="s">
        <v>57</v>
      </c>
      <c r="D682">
        <v>64</v>
      </c>
      <c r="E682" s="17" t="s">
        <v>31</v>
      </c>
      <c r="F682" s="18">
        <v>45158</v>
      </c>
      <c r="G682" s="2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761</v>
      </c>
      <c r="C683" t="s">
        <v>67</v>
      </c>
      <c r="D683">
        <v>151</v>
      </c>
      <c r="E683" s="17" t="s">
        <v>30</v>
      </c>
      <c r="F683" s="18">
        <v>45159</v>
      </c>
      <c r="G683" s="22">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762</v>
      </c>
      <c r="C684" t="s">
        <v>63</v>
      </c>
      <c r="D684">
        <v>116</v>
      </c>
      <c r="E684" s="17" t="s">
        <v>32</v>
      </c>
      <c r="F684" s="18">
        <v>45159</v>
      </c>
      <c r="G684" s="22">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763</v>
      </c>
      <c r="C685" t="s">
        <v>67</v>
      </c>
      <c r="D685">
        <v>111</v>
      </c>
      <c r="E685" s="17" t="s">
        <v>32</v>
      </c>
      <c r="F685" s="18">
        <v>45161</v>
      </c>
      <c r="G685" s="22">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764</v>
      </c>
      <c r="C686" t="s">
        <v>55</v>
      </c>
      <c r="D686">
        <v>15</v>
      </c>
      <c r="E686" s="17" t="s">
        <v>32</v>
      </c>
      <c r="F686" s="18">
        <v>45161</v>
      </c>
      <c r="G686" s="22">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765</v>
      </c>
      <c r="C687" t="s">
        <v>57</v>
      </c>
      <c r="D687">
        <v>18</v>
      </c>
      <c r="E687" s="17" t="s">
        <v>30</v>
      </c>
      <c r="F687" s="18">
        <v>45162</v>
      </c>
      <c r="G687" s="22">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766</v>
      </c>
      <c r="C688" t="s">
        <v>58</v>
      </c>
      <c r="D688">
        <v>146</v>
      </c>
      <c r="E688" s="17" t="s">
        <v>22</v>
      </c>
      <c r="F688" s="18">
        <v>45162</v>
      </c>
      <c r="G688" s="22">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767</v>
      </c>
      <c r="C689" t="s">
        <v>56</v>
      </c>
      <c r="D689">
        <v>73</v>
      </c>
      <c r="E689" s="17" t="s">
        <v>32</v>
      </c>
      <c r="F689" s="18">
        <v>45163</v>
      </c>
      <c r="G689" s="22">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768</v>
      </c>
      <c r="C690" t="s">
        <v>67</v>
      </c>
      <c r="D690">
        <v>108</v>
      </c>
      <c r="E690" s="17" t="s">
        <v>30</v>
      </c>
      <c r="F690" s="18">
        <v>45163</v>
      </c>
      <c r="G690" s="22">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769</v>
      </c>
      <c r="C691" t="s">
        <v>65</v>
      </c>
      <c r="D691">
        <v>52</v>
      </c>
      <c r="E691" s="17" t="s">
        <v>30</v>
      </c>
      <c r="F691" s="18">
        <v>45164</v>
      </c>
      <c r="G691" s="22">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770</v>
      </c>
      <c r="C692" t="s">
        <v>63</v>
      </c>
      <c r="D692">
        <v>165</v>
      </c>
      <c r="E692" s="17" t="s">
        <v>31</v>
      </c>
      <c r="F692" s="18">
        <v>45164</v>
      </c>
      <c r="G692" s="2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771</v>
      </c>
      <c r="C693" t="s">
        <v>58</v>
      </c>
      <c r="D693">
        <v>104</v>
      </c>
      <c r="E693" s="17" t="s">
        <v>32</v>
      </c>
      <c r="F693" s="18">
        <v>45164</v>
      </c>
      <c r="G693" s="22">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772</v>
      </c>
      <c r="C694" t="s">
        <v>56</v>
      </c>
      <c r="D694">
        <v>131</v>
      </c>
      <c r="E694" s="17" t="s">
        <v>22</v>
      </c>
      <c r="F694" s="18">
        <v>45164</v>
      </c>
      <c r="G694" s="22">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773</v>
      </c>
      <c r="C695" t="s">
        <v>62</v>
      </c>
      <c r="D695">
        <v>80</v>
      </c>
      <c r="E695" s="17" t="s">
        <v>31</v>
      </c>
      <c r="F695" s="18">
        <v>45165</v>
      </c>
      <c r="G695" s="22">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774</v>
      </c>
      <c r="C696" t="s">
        <v>55</v>
      </c>
      <c r="D696">
        <v>49</v>
      </c>
      <c r="E696" s="17" t="s">
        <v>32</v>
      </c>
      <c r="F696" s="18">
        <v>45165</v>
      </c>
      <c r="G696" s="22">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775</v>
      </c>
      <c r="C697" t="s">
        <v>63</v>
      </c>
      <c r="D697">
        <v>73</v>
      </c>
      <c r="E697" s="17" t="s">
        <v>32</v>
      </c>
      <c r="F697" s="18">
        <v>45165</v>
      </c>
      <c r="G697" s="22">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776</v>
      </c>
      <c r="C698" t="s">
        <v>58</v>
      </c>
      <c r="D698">
        <v>117</v>
      </c>
      <c r="E698" s="17" t="s">
        <v>31</v>
      </c>
      <c r="F698" s="18">
        <v>45165</v>
      </c>
      <c r="G698" s="22">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777</v>
      </c>
      <c r="C699" t="s">
        <v>64</v>
      </c>
      <c r="D699">
        <v>38</v>
      </c>
      <c r="E699" s="17" t="s">
        <v>33</v>
      </c>
      <c r="F699" s="18">
        <v>45165</v>
      </c>
      <c r="G699" s="22">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778</v>
      </c>
      <c r="C700" t="s">
        <v>65</v>
      </c>
      <c r="D700">
        <v>109</v>
      </c>
      <c r="E700" s="17" t="s">
        <v>31</v>
      </c>
      <c r="F700" s="18">
        <v>45167</v>
      </c>
      <c r="G700" s="22">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779</v>
      </c>
      <c r="C701" t="s">
        <v>55</v>
      </c>
      <c r="D701">
        <v>70</v>
      </c>
      <c r="E701" s="17" t="s">
        <v>30</v>
      </c>
      <c r="F701" s="18">
        <v>45168</v>
      </c>
      <c r="G701" s="22">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780</v>
      </c>
      <c r="C702" t="s">
        <v>54</v>
      </c>
      <c r="D702">
        <v>51</v>
      </c>
      <c r="E702" s="17" t="s">
        <v>33</v>
      </c>
      <c r="F702" s="18">
        <v>45168</v>
      </c>
      <c r="G702" s="2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781</v>
      </c>
      <c r="C703" t="s">
        <v>54</v>
      </c>
      <c r="D703">
        <v>100</v>
      </c>
      <c r="E703" s="17" t="s">
        <v>30</v>
      </c>
      <c r="F703" s="18">
        <v>45169</v>
      </c>
      <c r="G703" s="22">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782</v>
      </c>
      <c r="C704" t="s">
        <v>61</v>
      </c>
      <c r="D704">
        <v>124</v>
      </c>
      <c r="E704" s="17" t="s">
        <v>33</v>
      </c>
      <c r="F704" s="18">
        <v>45170</v>
      </c>
      <c r="G704" s="22">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783</v>
      </c>
      <c r="C705" t="s">
        <v>53</v>
      </c>
      <c r="D705">
        <v>143</v>
      </c>
      <c r="E705" s="17" t="s">
        <v>31</v>
      </c>
      <c r="F705" s="18">
        <v>45170</v>
      </c>
      <c r="G705" s="22">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784</v>
      </c>
      <c r="C706" t="s">
        <v>60</v>
      </c>
      <c r="D706">
        <v>96</v>
      </c>
      <c r="E706" s="17" t="s">
        <v>32</v>
      </c>
      <c r="F706" s="18">
        <v>45170</v>
      </c>
      <c r="G706" s="22">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785</v>
      </c>
      <c r="C707" t="s">
        <v>63</v>
      </c>
      <c r="D707">
        <v>84</v>
      </c>
      <c r="E707" s="17" t="s">
        <v>30</v>
      </c>
      <c r="F707" s="18">
        <v>45172</v>
      </c>
      <c r="G707" s="22">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786</v>
      </c>
      <c r="C708" t="s">
        <v>66</v>
      </c>
      <c r="D708">
        <v>111</v>
      </c>
      <c r="E708" s="17" t="s">
        <v>30</v>
      </c>
      <c r="F708" s="18">
        <v>45172</v>
      </c>
      <c r="G708" s="22">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787</v>
      </c>
      <c r="C709" t="s">
        <v>66</v>
      </c>
      <c r="D709">
        <v>103</v>
      </c>
      <c r="E709" s="17" t="s">
        <v>33</v>
      </c>
      <c r="F709" s="18">
        <v>45173</v>
      </c>
      <c r="G709" s="22">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788</v>
      </c>
      <c r="C710" t="s">
        <v>53</v>
      </c>
      <c r="D710">
        <v>61</v>
      </c>
      <c r="E710" s="17" t="s">
        <v>22</v>
      </c>
      <c r="F710" s="18">
        <v>45173</v>
      </c>
      <c r="G710" s="22">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789</v>
      </c>
      <c r="C711" t="s">
        <v>56</v>
      </c>
      <c r="D711">
        <v>113</v>
      </c>
      <c r="E711" s="17" t="s">
        <v>32</v>
      </c>
      <c r="F711" s="18">
        <v>45173</v>
      </c>
      <c r="G711" s="22">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790</v>
      </c>
      <c r="C712" t="s">
        <v>56</v>
      </c>
      <c r="D712">
        <v>96</v>
      </c>
      <c r="E712" s="17" t="s">
        <v>32</v>
      </c>
      <c r="F712" s="18">
        <v>45173</v>
      </c>
      <c r="G712" s="2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791</v>
      </c>
      <c r="C713" t="s">
        <v>57</v>
      </c>
      <c r="D713">
        <v>131</v>
      </c>
      <c r="E713" s="17" t="s">
        <v>33</v>
      </c>
      <c r="F713" s="18">
        <v>45174</v>
      </c>
      <c r="G713" s="22">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792</v>
      </c>
      <c r="C714" t="s">
        <v>58</v>
      </c>
      <c r="D714">
        <v>52</v>
      </c>
      <c r="E714" s="17" t="s">
        <v>32</v>
      </c>
      <c r="F714" s="18">
        <v>45175</v>
      </c>
      <c r="G714" s="22">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793</v>
      </c>
      <c r="C715" t="s">
        <v>54</v>
      </c>
      <c r="D715">
        <v>100</v>
      </c>
      <c r="E715" s="17" t="s">
        <v>33</v>
      </c>
      <c r="F715" s="18">
        <v>45175</v>
      </c>
      <c r="G715" s="22">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794</v>
      </c>
      <c r="C716" t="s">
        <v>67</v>
      </c>
      <c r="D716">
        <v>58</v>
      </c>
      <c r="E716" s="17" t="s">
        <v>31</v>
      </c>
      <c r="F716" s="18">
        <v>45175</v>
      </c>
      <c r="G716" s="22">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795</v>
      </c>
      <c r="C717" t="s">
        <v>55</v>
      </c>
      <c r="D717">
        <v>144</v>
      </c>
      <c r="E717" s="17" t="s">
        <v>31</v>
      </c>
      <c r="F717" s="18">
        <v>45176</v>
      </c>
      <c r="G717" s="22">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796</v>
      </c>
      <c r="C718" t="s">
        <v>67</v>
      </c>
      <c r="D718">
        <v>53</v>
      </c>
      <c r="E718" s="17" t="s">
        <v>22</v>
      </c>
      <c r="F718" s="18">
        <v>45177</v>
      </c>
      <c r="G718" s="22">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797</v>
      </c>
      <c r="C719" t="s">
        <v>56</v>
      </c>
      <c r="D719">
        <v>97</v>
      </c>
      <c r="E719" s="17" t="s">
        <v>30</v>
      </c>
      <c r="F719" s="18">
        <v>45177</v>
      </c>
      <c r="G719" s="22">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798</v>
      </c>
      <c r="C720" t="s">
        <v>64</v>
      </c>
      <c r="D720">
        <v>64</v>
      </c>
      <c r="E720" s="17" t="s">
        <v>31</v>
      </c>
      <c r="F720" s="18">
        <v>45177</v>
      </c>
      <c r="G720" s="22">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799</v>
      </c>
      <c r="C721" t="s">
        <v>53</v>
      </c>
      <c r="D721">
        <v>106</v>
      </c>
      <c r="E721" s="17" t="s">
        <v>33</v>
      </c>
      <c r="F721" s="18">
        <v>45177</v>
      </c>
      <c r="G721" s="22">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800</v>
      </c>
      <c r="C722" t="s">
        <v>63</v>
      </c>
      <c r="D722">
        <v>36</v>
      </c>
      <c r="E722" s="17" t="s">
        <v>31</v>
      </c>
      <c r="F722" s="18">
        <v>45178</v>
      </c>
      <c r="G722" s="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801</v>
      </c>
      <c r="C723" t="s">
        <v>55</v>
      </c>
      <c r="D723">
        <v>74</v>
      </c>
      <c r="E723" s="17" t="s">
        <v>32</v>
      </c>
      <c r="F723" s="18">
        <v>45178</v>
      </c>
      <c r="G723" s="22">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802</v>
      </c>
      <c r="C724" t="s">
        <v>65</v>
      </c>
      <c r="D724">
        <v>143</v>
      </c>
      <c r="E724" s="17" t="s">
        <v>30</v>
      </c>
      <c r="F724" s="18">
        <v>45178</v>
      </c>
      <c r="G724" s="22">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803</v>
      </c>
      <c r="C725" t="s">
        <v>53</v>
      </c>
      <c r="D725">
        <v>94</v>
      </c>
      <c r="E725" s="17" t="s">
        <v>22</v>
      </c>
      <c r="F725" s="18">
        <v>45178</v>
      </c>
      <c r="G725" s="22">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804</v>
      </c>
      <c r="C726" t="s">
        <v>62</v>
      </c>
      <c r="D726">
        <v>124</v>
      </c>
      <c r="E726" s="17" t="s">
        <v>33</v>
      </c>
      <c r="F726" s="18">
        <v>45179</v>
      </c>
      <c r="G726" s="22">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805</v>
      </c>
      <c r="C727" t="s">
        <v>63</v>
      </c>
      <c r="D727">
        <v>156</v>
      </c>
      <c r="E727" s="17" t="s">
        <v>31</v>
      </c>
      <c r="F727" s="18">
        <v>45179</v>
      </c>
      <c r="G727" s="22">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806</v>
      </c>
      <c r="C728" t="s">
        <v>60</v>
      </c>
      <c r="D728">
        <v>107</v>
      </c>
      <c r="E728" s="17" t="s">
        <v>30</v>
      </c>
      <c r="F728" s="18">
        <v>45179</v>
      </c>
      <c r="G728" s="22">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807</v>
      </c>
      <c r="C729" t="s">
        <v>53</v>
      </c>
      <c r="D729">
        <v>58</v>
      </c>
      <c r="E729" s="17" t="s">
        <v>30</v>
      </c>
      <c r="F729" s="18">
        <v>45181</v>
      </c>
      <c r="G729" s="22">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808</v>
      </c>
      <c r="C730" t="s">
        <v>61</v>
      </c>
      <c r="D730">
        <v>66</v>
      </c>
      <c r="E730" s="17" t="s">
        <v>30</v>
      </c>
      <c r="F730" s="18">
        <v>45181</v>
      </c>
      <c r="G730" s="22">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809</v>
      </c>
      <c r="C731" t="s">
        <v>57</v>
      </c>
      <c r="D731">
        <v>75</v>
      </c>
      <c r="E731" s="17" t="s">
        <v>31</v>
      </c>
      <c r="F731" s="18">
        <v>45181</v>
      </c>
      <c r="G731" s="22">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810</v>
      </c>
      <c r="C732" t="s">
        <v>60</v>
      </c>
      <c r="D732">
        <v>8</v>
      </c>
      <c r="E732" s="17" t="s">
        <v>30</v>
      </c>
      <c r="F732" s="18">
        <v>45181</v>
      </c>
      <c r="G732" s="2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811</v>
      </c>
      <c r="C733" t="s">
        <v>64</v>
      </c>
      <c r="D733">
        <v>76</v>
      </c>
      <c r="E733" s="17" t="s">
        <v>31</v>
      </c>
      <c r="F733" s="18">
        <v>45182</v>
      </c>
      <c r="G733" s="22">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812</v>
      </c>
      <c r="C734" t="s">
        <v>53</v>
      </c>
      <c r="D734">
        <v>110</v>
      </c>
      <c r="E734" s="17" t="s">
        <v>31</v>
      </c>
      <c r="F734" s="18">
        <v>45182</v>
      </c>
      <c r="G734" s="22">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813</v>
      </c>
      <c r="C735" t="s">
        <v>61</v>
      </c>
      <c r="D735">
        <v>50</v>
      </c>
      <c r="E735" s="17" t="s">
        <v>22</v>
      </c>
      <c r="F735" s="18">
        <v>45183</v>
      </c>
      <c r="G735" s="22">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814</v>
      </c>
      <c r="C736" t="s">
        <v>58</v>
      </c>
      <c r="D736">
        <v>78</v>
      </c>
      <c r="E736" s="17" t="s">
        <v>22</v>
      </c>
      <c r="F736" s="18">
        <v>45183</v>
      </c>
      <c r="G736" s="22">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815</v>
      </c>
      <c r="C737" t="s">
        <v>56</v>
      </c>
      <c r="D737">
        <v>59</v>
      </c>
      <c r="E737" s="17" t="s">
        <v>33</v>
      </c>
      <c r="F737" s="18">
        <v>45184</v>
      </c>
      <c r="G737" s="22">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816</v>
      </c>
      <c r="C738" t="s">
        <v>58</v>
      </c>
      <c r="D738">
        <v>126</v>
      </c>
      <c r="E738" s="17" t="s">
        <v>30</v>
      </c>
      <c r="F738" s="18">
        <v>45185</v>
      </c>
      <c r="G738" s="22">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817</v>
      </c>
      <c r="C739" t="s">
        <v>64</v>
      </c>
      <c r="D739">
        <v>43</v>
      </c>
      <c r="E739" s="17" t="s">
        <v>33</v>
      </c>
      <c r="F739" s="18">
        <v>45186</v>
      </c>
      <c r="G739" s="22">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818</v>
      </c>
      <c r="C740" t="s">
        <v>63</v>
      </c>
      <c r="D740">
        <v>79</v>
      </c>
      <c r="E740" s="17" t="s">
        <v>31</v>
      </c>
      <c r="F740" s="18">
        <v>45188</v>
      </c>
      <c r="G740" s="22">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819</v>
      </c>
      <c r="C741" t="s">
        <v>53</v>
      </c>
      <c r="D741">
        <v>71</v>
      </c>
      <c r="E741" s="17" t="s">
        <v>33</v>
      </c>
      <c r="F741" s="18">
        <v>45189</v>
      </c>
      <c r="G741" s="22">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820</v>
      </c>
      <c r="C742" t="s">
        <v>66</v>
      </c>
      <c r="D742">
        <v>94</v>
      </c>
      <c r="E742" s="17" t="s">
        <v>30</v>
      </c>
      <c r="F742" s="18">
        <v>45190</v>
      </c>
      <c r="G742" s="2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821</v>
      </c>
      <c r="C743" t="s">
        <v>60</v>
      </c>
      <c r="D743">
        <v>108</v>
      </c>
      <c r="E743" s="17" t="s">
        <v>33</v>
      </c>
      <c r="F743" s="18">
        <v>45190</v>
      </c>
      <c r="G743" s="22">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822</v>
      </c>
      <c r="C744" t="s">
        <v>64</v>
      </c>
      <c r="D744">
        <v>76</v>
      </c>
      <c r="E744" s="17" t="s">
        <v>30</v>
      </c>
      <c r="F744" s="18">
        <v>45190</v>
      </c>
      <c r="G744" s="22">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823</v>
      </c>
      <c r="C745" t="s">
        <v>56</v>
      </c>
      <c r="D745">
        <v>136</v>
      </c>
      <c r="E745" s="17" t="s">
        <v>33</v>
      </c>
      <c r="F745" s="18">
        <v>45190</v>
      </c>
      <c r="G745" s="22">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824</v>
      </c>
      <c r="C746" t="s">
        <v>54</v>
      </c>
      <c r="D746">
        <v>129</v>
      </c>
      <c r="E746" s="17" t="s">
        <v>22</v>
      </c>
      <c r="F746" s="18">
        <v>45191</v>
      </c>
      <c r="G746" s="22">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825</v>
      </c>
      <c r="C747" t="s">
        <v>60</v>
      </c>
      <c r="D747">
        <v>120</v>
      </c>
      <c r="E747" s="17" t="s">
        <v>33</v>
      </c>
      <c r="F747" s="18">
        <v>45191</v>
      </c>
      <c r="G747" s="22">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826</v>
      </c>
      <c r="C748" t="s">
        <v>64</v>
      </c>
      <c r="D748">
        <v>108</v>
      </c>
      <c r="E748" s="17" t="s">
        <v>22</v>
      </c>
      <c r="F748" s="18">
        <v>45192</v>
      </c>
      <c r="G748" s="22">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827</v>
      </c>
      <c r="C749" t="s">
        <v>58</v>
      </c>
      <c r="D749">
        <v>79</v>
      </c>
      <c r="E749" s="17" t="s">
        <v>33</v>
      </c>
      <c r="F749" s="18">
        <v>45192</v>
      </c>
      <c r="G749" s="22">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828</v>
      </c>
      <c r="C750" t="s">
        <v>58</v>
      </c>
      <c r="D750">
        <v>45</v>
      </c>
      <c r="E750" s="17" t="s">
        <v>22</v>
      </c>
      <c r="F750" s="18">
        <v>45192</v>
      </c>
      <c r="G750" s="22">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829</v>
      </c>
      <c r="C751" t="s">
        <v>55</v>
      </c>
      <c r="D751">
        <v>96</v>
      </c>
      <c r="E751" s="17" t="s">
        <v>33</v>
      </c>
      <c r="F751" s="18">
        <v>45192</v>
      </c>
      <c r="G751" s="22">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830</v>
      </c>
      <c r="C752" t="s">
        <v>55</v>
      </c>
      <c r="D752">
        <v>81</v>
      </c>
      <c r="E752" s="17" t="s">
        <v>33</v>
      </c>
      <c r="F752" s="18">
        <v>45193</v>
      </c>
      <c r="G752" s="2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831</v>
      </c>
      <c r="C753" t="s">
        <v>56</v>
      </c>
      <c r="D753">
        <v>95</v>
      </c>
      <c r="E753" s="17" t="s">
        <v>32</v>
      </c>
      <c r="F753" s="18">
        <v>45193</v>
      </c>
      <c r="G753" s="22">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832</v>
      </c>
      <c r="C754" t="s">
        <v>62</v>
      </c>
      <c r="D754">
        <v>159</v>
      </c>
      <c r="E754" s="17" t="s">
        <v>30</v>
      </c>
      <c r="F754" s="18">
        <v>45193</v>
      </c>
      <c r="G754" s="22">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833</v>
      </c>
      <c r="C755" t="s">
        <v>59</v>
      </c>
      <c r="D755">
        <v>109</v>
      </c>
      <c r="E755" s="17" t="s">
        <v>31</v>
      </c>
      <c r="F755" s="18">
        <v>45193</v>
      </c>
      <c r="G755" s="22">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834</v>
      </c>
      <c r="C756" t="s">
        <v>58</v>
      </c>
      <c r="D756">
        <v>107</v>
      </c>
      <c r="E756" s="17" t="s">
        <v>31</v>
      </c>
      <c r="F756" s="18">
        <v>45193</v>
      </c>
      <c r="G756" s="22">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835</v>
      </c>
      <c r="C757" t="s">
        <v>55</v>
      </c>
      <c r="D757">
        <v>67</v>
      </c>
      <c r="E757" s="17" t="s">
        <v>22</v>
      </c>
      <c r="F757" s="18">
        <v>45194</v>
      </c>
      <c r="G757" s="22">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836</v>
      </c>
      <c r="C758" t="s">
        <v>57</v>
      </c>
      <c r="D758">
        <v>96</v>
      </c>
      <c r="E758" s="17" t="s">
        <v>33</v>
      </c>
      <c r="F758" s="18">
        <v>45195</v>
      </c>
      <c r="G758" s="22">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837</v>
      </c>
      <c r="C759" t="s">
        <v>65</v>
      </c>
      <c r="D759">
        <v>142</v>
      </c>
      <c r="E759" s="17" t="s">
        <v>30</v>
      </c>
      <c r="F759" s="18">
        <v>45196</v>
      </c>
      <c r="G759" s="22">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838</v>
      </c>
      <c r="C760" t="s">
        <v>65</v>
      </c>
      <c r="D760">
        <v>71</v>
      </c>
      <c r="E760" s="17" t="s">
        <v>32</v>
      </c>
      <c r="F760" s="18">
        <v>45196</v>
      </c>
      <c r="G760" s="22">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839</v>
      </c>
      <c r="C761" t="s">
        <v>57</v>
      </c>
      <c r="D761">
        <v>152</v>
      </c>
      <c r="E761" s="17" t="s">
        <v>32</v>
      </c>
      <c r="F761" s="18">
        <v>45196</v>
      </c>
      <c r="G761" s="22">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840</v>
      </c>
      <c r="C762" t="s">
        <v>63</v>
      </c>
      <c r="D762">
        <v>108</v>
      </c>
      <c r="E762" s="17" t="s">
        <v>30</v>
      </c>
      <c r="F762" s="18">
        <v>45196</v>
      </c>
      <c r="G762" s="2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841</v>
      </c>
      <c r="C763" t="s">
        <v>63</v>
      </c>
      <c r="D763">
        <v>156</v>
      </c>
      <c r="E763" s="17" t="s">
        <v>32</v>
      </c>
      <c r="F763" s="18">
        <v>45196</v>
      </c>
      <c r="G763" s="22">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842</v>
      </c>
      <c r="C764" t="s">
        <v>65</v>
      </c>
      <c r="D764">
        <v>126</v>
      </c>
      <c r="E764" s="17" t="s">
        <v>30</v>
      </c>
      <c r="F764" s="18">
        <v>45196</v>
      </c>
      <c r="G764" s="22">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843</v>
      </c>
      <c r="C765" t="s">
        <v>64</v>
      </c>
      <c r="D765">
        <v>135</v>
      </c>
      <c r="E765" s="17" t="s">
        <v>32</v>
      </c>
      <c r="F765" s="18">
        <v>45197</v>
      </c>
      <c r="G765" s="22">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844</v>
      </c>
      <c r="C766" t="s">
        <v>65</v>
      </c>
      <c r="D766">
        <v>110</v>
      </c>
      <c r="E766" s="17" t="s">
        <v>33</v>
      </c>
      <c r="F766" s="18">
        <v>45198</v>
      </c>
      <c r="G766" s="22">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845</v>
      </c>
      <c r="C767" t="s">
        <v>62</v>
      </c>
      <c r="D767">
        <v>64</v>
      </c>
      <c r="E767" s="17" t="s">
        <v>32</v>
      </c>
      <c r="F767" s="18">
        <v>45198</v>
      </c>
      <c r="G767" s="22">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846</v>
      </c>
      <c r="C768" t="s">
        <v>66</v>
      </c>
      <c r="D768">
        <v>127</v>
      </c>
      <c r="E768" s="17" t="s">
        <v>30</v>
      </c>
      <c r="F768" s="18">
        <v>45198</v>
      </c>
      <c r="G768" s="22">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847</v>
      </c>
      <c r="C769" t="s">
        <v>59</v>
      </c>
      <c r="D769">
        <v>124</v>
      </c>
      <c r="E769" s="17" t="s">
        <v>22</v>
      </c>
      <c r="F769" s="18">
        <v>45198</v>
      </c>
      <c r="G769" s="22">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848</v>
      </c>
      <c r="C770" t="s">
        <v>62</v>
      </c>
      <c r="D770">
        <v>125</v>
      </c>
      <c r="E770" s="17" t="s">
        <v>30</v>
      </c>
      <c r="F770" s="18">
        <v>45198</v>
      </c>
      <c r="G770" s="22">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849</v>
      </c>
      <c r="C771" t="s">
        <v>54</v>
      </c>
      <c r="D771">
        <v>70</v>
      </c>
      <c r="E771" s="17" t="s">
        <v>30</v>
      </c>
      <c r="F771" s="18">
        <v>45198</v>
      </c>
      <c r="G771" s="22">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850</v>
      </c>
      <c r="C772" t="s">
        <v>66</v>
      </c>
      <c r="D772">
        <v>93</v>
      </c>
      <c r="E772" s="17" t="s">
        <v>32</v>
      </c>
      <c r="F772" s="18">
        <v>45199</v>
      </c>
      <c r="G772" s="2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851</v>
      </c>
      <c r="C773" t="s">
        <v>54</v>
      </c>
      <c r="D773">
        <v>120</v>
      </c>
      <c r="E773" s="17" t="s">
        <v>31</v>
      </c>
      <c r="F773" s="18">
        <v>45199</v>
      </c>
      <c r="G773" s="22">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852</v>
      </c>
      <c r="C774" t="s">
        <v>55</v>
      </c>
      <c r="D774">
        <v>96</v>
      </c>
      <c r="E774" s="17" t="s">
        <v>33</v>
      </c>
      <c r="F774" s="18">
        <v>45199</v>
      </c>
      <c r="G774" s="22">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853</v>
      </c>
      <c r="C775" t="s">
        <v>67</v>
      </c>
      <c r="D775">
        <v>67</v>
      </c>
      <c r="E775" s="17" t="s">
        <v>33</v>
      </c>
      <c r="F775" s="18">
        <v>45199</v>
      </c>
      <c r="G775" s="22">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854</v>
      </c>
      <c r="C776" t="s">
        <v>62</v>
      </c>
      <c r="D776">
        <v>119</v>
      </c>
      <c r="E776" s="17" t="s">
        <v>33</v>
      </c>
      <c r="F776" s="18">
        <v>45199</v>
      </c>
      <c r="G776" s="22">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855</v>
      </c>
      <c r="C777" t="s">
        <v>59</v>
      </c>
      <c r="D777">
        <v>61</v>
      </c>
      <c r="E777" s="17" t="s">
        <v>22</v>
      </c>
      <c r="F777" s="18">
        <v>45199</v>
      </c>
      <c r="G777" s="22">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856</v>
      </c>
      <c r="C778" t="s">
        <v>55</v>
      </c>
      <c r="D778">
        <v>29</v>
      </c>
      <c r="E778" s="17" t="s">
        <v>32</v>
      </c>
      <c r="F778" s="18">
        <v>45199</v>
      </c>
      <c r="G778" s="22">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857</v>
      </c>
      <c r="C779" t="s">
        <v>57</v>
      </c>
      <c r="D779">
        <v>134</v>
      </c>
      <c r="E779" s="17" t="s">
        <v>31</v>
      </c>
      <c r="F779" s="18">
        <v>45199</v>
      </c>
      <c r="G779" s="22">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858</v>
      </c>
      <c r="C780" t="s">
        <v>65</v>
      </c>
      <c r="D780">
        <v>113</v>
      </c>
      <c r="E780" s="17" t="s">
        <v>33</v>
      </c>
      <c r="F780" s="18">
        <v>45200</v>
      </c>
      <c r="G780" s="22">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859</v>
      </c>
      <c r="C781" t="s">
        <v>63</v>
      </c>
      <c r="D781">
        <v>12</v>
      </c>
      <c r="E781" s="17" t="s">
        <v>31</v>
      </c>
      <c r="F781" s="18">
        <v>45200</v>
      </c>
      <c r="G781" s="22">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860</v>
      </c>
      <c r="C782" t="s">
        <v>61</v>
      </c>
      <c r="D782">
        <v>78</v>
      </c>
      <c r="E782" s="17" t="s">
        <v>32</v>
      </c>
      <c r="F782" s="18">
        <v>45200</v>
      </c>
      <c r="G782" s="2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861</v>
      </c>
      <c r="C783" t="s">
        <v>62</v>
      </c>
      <c r="D783">
        <v>82</v>
      </c>
      <c r="E783" s="17" t="s">
        <v>30</v>
      </c>
      <c r="F783" s="18">
        <v>45200</v>
      </c>
      <c r="G783" s="22">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862</v>
      </c>
      <c r="C784" t="s">
        <v>60</v>
      </c>
      <c r="D784">
        <v>149</v>
      </c>
      <c r="E784" s="17" t="s">
        <v>22</v>
      </c>
      <c r="F784" s="18">
        <v>45200</v>
      </c>
      <c r="G784" s="22">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863</v>
      </c>
      <c r="C785" t="s">
        <v>58</v>
      </c>
      <c r="D785">
        <v>56</v>
      </c>
      <c r="E785" s="17" t="s">
        <v>31</v>
      </c>
      <c r="F785" s="18">
        <v>45200</v>
      </c>
      <c r="G785" s="22">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864</v>
      </c>
      <c r="C786" t="s">
        <v>55</v>
      </c>
      <c r="D786">
        <v>80</v>
      </c>
      <c r="E786" s="17" t="s">
        <v>22</v>
      </c>
      <c r="F786" s="18">
        <v>45200</v>
      </c>
      <c r="G786" s="22">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865</v>
      </c>
      <c r="C787" t="s">
        <v>59</v>
      </c>
      <c r="D787">
        <v>131</v>
      </c>
      <c r="E787" s="17" t="s">
        <v>33</v>
      </c>
      <c r="F787" s="18">
        <v>45200</v>
      </c>
      <c r="G787" s="22">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866</v>
      </c>
      <c r="C788" t="s">
        <v>59</v>
      </c>
      <c r="D788">
        <v>109</v>
      </c>
      <c r="E788" s="17" t="s">
        <v>33</v>
      </c>
      <c r="F788" s="18">
        <v>45200</v>
      </c>
      <c r="G788" s="22">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867</v>
      </c>
      <c r="C789" t="s">
        <v>58</v>
      </c>
      <c r="D789">
        <v>142</v>
      </c>
      <c r="E789" s="17" t="s">
        <v>33</v>
      </c>
      <c r="F789" s="18">
        <v>45200</v>
      </c>
      <c r="G789" s="22">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868</v>
      </c>
      <c r="C790" t="s">
        <v>66</v>
      </c>
      <c r="D790">
        <v>114</v>
      </c>
      <c r="E790" s="17" t="s">
        <v>31</v>
      </c>
      <c r="F790" s="18">
        <v>45201</v>
      </c>
      <c r="G790" s="22">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869</v>
      </c>
      <c r="C791" t="s">
        <v>67</v>
      </c>
      <c r="D791">
        <v>93</v>
      </c>
      <c r="E791" s="17" t="s">
        <v>22</v>
      </c>
      <c r="F791" s="18">
        <v>45201</v>
      </c>
      <c r="G791" s="22">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870</v>
      </c>
      <c r="C792" t="s">
        <v>63</v>
      </c>
      <c r="D792">
        <v>43</v>
      </c>
      <c r="E792" s="17" t="s">
        <v>22</v>
      </c>
      <c r="F792" s="18">
        <v>45201</v>
      </c>
      <c r="G792" s="2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871</v>
      </c>
      <c r="C793" t="s">
        <v>57</v>
      </c>
      <c r="D793">
        <v>78</v>
      </c>
      <c r="E793" s="17" t="s">
        <v>32</v>
      </c>
      <c r="F793" s="18">
        <v>45202</v>
      </c>
      <c r="G793" s="22">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872</v>
      </c>
      <c r="C794" t="s">
        <v>66</v>
      </c>
      <c r="D794">
        <v>89</v>
      </c>
      <c r="E794" s="17" t="s">
        <v>33</v>
      </c>
      <c r="F794" s="18">
        <v>45202</v>
      </c>
      <c r="G794" s="22">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873</v>
      </c>
      <c r="C795" t="s">
        <v>58</v>
      </c>
      <c r="D795">
        <v>82</v>
      </c>
      <c r="E795" s="17" t="s">
        <v>30</v>
      </c>
      <c r="F795" s="18">
        <v>45202</v>
      </c>
      <c r="G795" s="22">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874</v>
      </c>
      <c r="C796" t="s">
        <v>55</v>
      </c>
      <c r="D796">
        <v>86</v>
      </c>
      <c r="E796" s="17" t="s">
        <v>33</v>
      </c>
      <c r="F796" s="18">
        <v>45203</v>
      </c>
      <c r="G796" s="22">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875</v>
      </c>
      <c r="C797" t="s">
        <v>56</v>
      </c>
      <c r="D797">
        <v>57</v>
      </c>
      <c r="E797" s="17" t="s">
        <v>32</v>
      </c>
      <c r="F797" s="18">
        <v>45203</v>
      </c>
      <c r="G797" s="22">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876</v>
      </c>
      <c r="C798" t="s">
        <v>67</v>
      </c>
      <c r="D798">
        <v>103</v>
      </c>
      <c r="E798" s="17" t="s">
        <v>31</v>
      </c>
      <c r="F798" s="18">
        <v>45203</v>
      </c>
      <c r="G798" s="22">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877</v>
      </c>
      <c r="C799" t="s">
        <v>61</v>
      </c>
      <c r="D799">
        <v>138</v>
      </c>
      <c r="E799" s="17" t="s">
        <v>32</v>
      </c>
      <c r="F799" s="18">
        <v>45204</v>
      </c>
      <c r="G799" s="22">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878</v>
      </c>
      <c r="C800" t="s">
        <v>60</v>
      </c>
      <c r="D800">
        <v>88</v>
      </c>
      <c r="E800" s="17" t="s">
        <v>30</v>
      </c>
      <c r="F800" s="18">
        <v>45204</v>
      </c>
      <c r="G800" s="22">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879</v>
      </c>
      <c r="C801" t="s">
        <v>66</v>
      </c>
      <c r="D801">
        <v>118</v>
      </c>
      <c r="E801" s="17" t="s">
        <v>22</v>
      </c>
      <c r="F801" s="18">
        <v>45204</v>
      </c>
      <c r="G801" s="22">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880</v>
      </c>
      <c r="C802" t="s">
        <v>55</v>
      </c>
      <c r="D802">
        <v>4</v>
      </c>
      <c r="E802" s="17" t="s">
        <v>33</v>
      </c>
      <c r="F802" s="18">
        <v>45204</v>
      </c>
      <c r="G802" s="2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881</v>
      </c>
      <c r="C803" t="s">
        <v>63</v>
      </c>
      <c r="D803">
        <v>78</v>
      </c>
      <c r="E803" s="17" t="s">
        <v>31</v>
      </c>
      <c r="F803" s="18">
        <v>45205</v>
      </c>
      <c r="G803" s="22">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882</v>
      </c>
      <c r="C804" t="s">
        <v>65</v>
      </c>
      <c r="D804">
        <v>69</v>
      </c>
      <c r="E804" s="17" t="s">
        <v>33</v>
      </c>
      <c r="F804" s="18">
        <v>45205</v>
      </c>
      <c r="G804" s="22">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883</v>
      </c>
      <c r="C805" t="s">
        <v>58</v>
      </c>
      <c r="D805">
        <v>90</v>
      </c>
      <c r="E805" s="17" t="s">
        <v>32</v>
      </c>
      <c r="F805" s="18">
        <v>45205</v>
      </c>
      <c r="G805" s="22">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884</v>
      </c>
      <c r="C806" t="s">
        <v>65</v>
      </c>
      <c r="D806">
        <v>134</v>
      </c>
      <c r="E806" s="17" t="s">
        <v>33</v>
      </c>
      <c r="F806" s="18">
        <v>45205</v>
      </c>
      <c r="G806" s="22">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885</v>
      </c>
      <c r="C807" t="s">
        <v>54</v>
      </c>
      <c r="D807">
        <v>65</v>
      </c>
      <c r="E807" s="17" t="s">
        <v>22</v>
      </c>
      <c r="F807" s="18">
        <v>45205</v>
      </c>
      <c r="G807" s="22">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886</v>
      </c>
      <c r="C808" t="s">
        <v>64</v>
      </c>
      <c r="D808">
        <v>54</v>
      </c>
      <c r="E808" s="17" t="s">
        <v>31</v>
      </c>
      <c r="F808" s="18">
        <v>45206</v>
      </c>
      <c r="G808" s="22">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887</v>
      </c>
      <c r="C809" t="s">
        <v>64</v>
      </c>
      <c r="D809">
        <v>90</v>
      </c>
      <c r="E809" s="17" t="s">
        <v>31</v>
      </c>
      <c r="F809" s="18">
        <v>45206</v>
      </c>
      <c r="G809" s="22">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888</v>
      </c>
      <c r="C810" t="s">
        <v>58</v>
      </c>
      <c r="D810">
        <v>66</v>
      </c>
      <c r="E810" s="17" t="s">
        <v>31</v>
      </c>
      <c r="F810" s="18">
        <v>45206</v>
      </c>
      <c r="G810" s="22">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889</v>
      </c>
      <c r="C811" t="s">
        <v>55</v>
      </c>
      <c r="D811">
        <v>150</v>
      </c>
      <c r="E811" s="17" t="s">
        <v>31</v>
      </c>
      <c r="F811" s="18">
        <v>45207</v>
      </c>
      <c r="G811" s="22">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890</v>
      </c>
      <c r="C812" t="s">
        <v>57</v>
      </c>
      <c r="D812">
        <v>18</v>
      </c>
      <c r="E812" s="17" t="s">
        <v>22</v>
      </c>
      <c r="F812" s="18">
        <v>45207</v>
      </c>
      <c r="G812" s="2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891</v>
      </c>
      <c r="C813" t="s">
        <v>64</v>
      </c>
      <c r="D813">
        <v>87</v>
      </c>
      <c r="E813" s="17" t="s">
        <v>22</v>
      </c>
      <c r="F813" s="18">
        <v>45207</v>
      </c>
      <c r="G813" s="22">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892</v>
      </c>
      <c r="C814" t="s">
        <v>61</v>
      </c>
      <c r="D814">
        <v>94</v>
      </c>
      <c r="E814" s="17" t="s">
        <v>31</v>
      </c>
      <c r="F814" s="18">
        <v>45208</v>
      </c>
      <c r="G814" s="22">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893</v>
      </c>
      <c r="C815" t="s">
        <v>56</v>
      </c>
      <c r="D815">
        <v>56</v>
      </c>
      <c r="E815" s="17" t="s">
        <v>31</v>
      </c>
      <c r="F815" s="18">
        <v>45208</v>
      </c>
      <c r="G815" s="22">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894</v>
      </c>
      <c r="C816" t="s">
        <v>66</v>
      </c>
      <c r="D816">
        <v>41</v>
      </c>
      <c r="E816" s="17" t="s">
        <v>30</v>
      </c>
      <c r="F816" s="18">
        <v>45209</v>
      </c>
      <c r="G816" s="22">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895</v>
      </c>
      <c r="C817" t="s">
        <v>55</v>
      </c>
      <c r="D817">
        <v>119</v>
      </c>
      <c r="E817" s="17" t="s">
        <v>32</v>
      </c>
      <c r="F817" s="18">
        <v>45209</v>
      </c>
      <c r="G817" s="22">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896</v>
      </c>
      <c r="C818" t="s">
        <v>67</v>
      </c>
      <c r="D818">
        <v>108</v>
      </c>
      <c r="E818" s="17" t="s">
        <v>31</v>
      </c>
      <c r="F818" s="18">
        <v>45209</v>
      </c>
      <c r="G818" s="22">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897</v>
      </c>
      <c r="C819" t="s">
        <v>63</v>
      </c>
      <c r="D819">
        <v>63</v>
      </c>
      <c r="E819" s="17" t="s">
        <v>33</v>
      </c>
      <c r="F819" s="18">
        <v>45209</v>
      </c>
      <c r="G819" s="22">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898</v>
      </c>
      <c r="C820" t="s">
        <v>62</v>
      </c>
      <c r="D820">
        <v>59</v>
      </c>
      <c r="E820" s="17" t="s">
        <v>31</v>
      </c>
      <c r="F820" s="18">
        <v>45209</v>
      </c>
      <c r="G820" s="22">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899</v>
      </c>
      <c r="C821" t="s">
        <v>62</v>
      </c>
      <c r="D821">
        <v>90</v>
      </c>
      <c r="E821" s="17" t="s">
        <v>30</v>
      </c>
      <c r="F821" s="18">
        <v>45209</v>
      </c>
      <c r="G821" s="22">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900</v>
      </c>
      <c r="C822" t="s">
        <v>60</v>
      </c>
      <c r="D822">
        <v>55</v>
      </c>
      <c r="E822" s="17" t="s">
        <v>30</v>
      </c>
      <c r="F822" s="18">
        <v>45209</v>
      </c>
      <c r="G822" s="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901</v>
      </c>
      <c r="C823" t="s">
        <v>67</v>
      </c>
      <c r="D823">
        <v>84</v>
      </c>
      <c r="E823" s="17" t="s">
        <v>32</v>
      </c>
      <c r="F823" s="18">
        <v>45210</v>
      </c>
      <c r="G823" s="22">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902</v>
      </c>
      <c r="C824" t="s">
        <v>67</v>
      </c>
      <c r="D824">
        <v>150</v>
      </c>
      <c r="E824" s="17" t="s">
        <v>22</v>
      </c>
      <c r="F824" s="18">
        <v>45210</v>
      </c>
      <c r="G824" s="22">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903</v>
      </c>
      <c r="C825" t="s">
        <v>59</v>
      </c>
      <c r="D825">
        <v>69</v>
      </c>
      <c r="E825" s="17" t="s">
        <v>31</v>
      </c>
      <c r="F825" s="18">
        <v>45210</v>
      </c>
      <c r="G825" s="22">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904</v>
      </c>
      <c r="C826" t="s">
        <v>53</v>
      </c>
      <c r="D826">
        <v>120</v>
      </c>
      <c r="E826" s="17" t="s">
        <v>30</v>
      </c>
      <c r="F826" s="18">
        <v>45211</v>
      </c>
      <c r="G826" s="22">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905</v>
      </c>
      <c r="C827" t="s">
        <v>64</v>
      </c>
      <c r="D827">
        <v>126</v>
      </c>
      <c r="E827" s="17" t="s">
        <v>32</v>
      </c>
      <c r="F827" s="18">
        <v>45211</v>
      </c>
      <c r="G827" s="22">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906</v>
      </c>
      <c r="C828" t="s">
        <v>59</v>
      </c>
      <c r="D828">
        <v>120</v>
      </c>
      <c r="E828" s="17" t="s">
        <v>33</v>
      </c>
      <c r="F828" s="18">
        <v>45211</v>
      </c>
      <c r="G828" s="22">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907</v>
      </c>
      <c r="C829" t="s">
        <v>64</v>
      </c>
      <c r="D829">
        <v>139</v>
      </c>
      <c r="E829" s="17" t="s">
        <v>30</v>
      </c>
      <c r="F829" s="18">
        <v>45212</v>
      </c>
      <c r="G829" s="22">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908</v>
      </c>
      <c r="C830" t="s">
        <v>60</v>
      </c>
      <c r="D830">
        <v>124</v>
      </c>
      <c r="E830" s="17" t="s">
        <v>31</v>
      </c>
      <c r="F830" s="18">
        <v>45213</v>
      </c>
      <c r="G830" s="22">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909</v>
      </c>
      <c r="C831" t="s">
        <v>53</v>
      </c>
      <c r="D831">
        <v>108</v>
      </c>
      <c r="E831" s="17" t="s">
        <v>33</v>
      </c>
      <c r="F831" s="18">
        <v>45213</v>
      </c>
      <c r="G831" s="22">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910</v>
      </c>
      <c r="C832" t="s">
        <v>54</v>
      </c>
      <c r="D832">
        <v>132</v>
      </c>
      <c r="E832" s="17" t="s">
        <v>22</v>
      </c>
      <c r="F832" s="18">
        <v>45213</v>
      </c>
      <c r="G832" s="2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911</v>
      </c>
      <c r="C833" t="s">
        <v>63</v>
      </c>
      <c r="D833">
        <v>67</v>
      </c>
      <c r="E833" s="17" t="s">
        <v>22</v>
      </c>
      <c r="F833" s="18">
        <v>45213</v>
      </c>
      <c r="G833" s="22">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912</v>
      </c>
      <c r="C834" t="s">
        <v>58</v>
      </c>
      <c r="D834">
        <v>125</v>
      </c>
      <c r="E834" s="17" t="s">
        <v>22</v>
      </c>
      <c r="F834" s="18">
        <v>45213</v>
      </c>
      <c r="G834" s="22">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913</v>
      </c>
      <c r="C835" t="s">
        <v>53</v>
      </c>
      <c r="D835">
        <v>23</v>
      </c>
      <c r="E835" s="17" t="s">
        <v>33</v>
      </c>
      <c r="F835" s="18">
        <v>45213</v>
      </c>
      <c r="G835" s="22">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914</v>
      </c>
      <c r="C836" t="s">
        <v>55</v>
      </c>
      <c r="D836">
        <v>131</v>
      </c>
      <c r="E836" s="17" t="s">
        <v>31</v>
      </c>
      <c r="F836" s="18">
        <v>45214</v>
      </c>
      <c r="G836" s="22">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915</v>
      </c>
      <c r="C837" t="s">
        <v>54</v>
      </c>
      <c r="D837">
        <v>56</v>
      </c>
      <c r="E837" s="17" t="s">
        <v>30</v>
      </c>
      <c r="F837" s="18">
        <v>45214</v>
      </c>
      <c r="G837" s="22">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916</v>
      </c>
      <c r="C838" t="s">
        <v>55</v>
      </c>
      <c r="D838">
        <v>70</v>
      </c>
      <c r="E838" s="17" t="s">
        <v>31</v>
      </c>
      <c r="F838" s="18">
        <v>45214</v>
      </c>
      <c r="G838" s="22">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917</v>
      </c>
      <c r="C839" t="s">
        <v>55</v>
      </c>
      <c r="D839">
        <v>55</v>
      </c>
      <c r="E839" s="17" t="s">
        <v>22</v>
      </c>
      <c r="F839" s="18">
        <v>45214</v>
      </c>
      <c r="G839" s="22">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918</v>
      </c>
      <c r="C840" t="s">
        <v>58</v>
      </c>
      <c r="D840">
        <v>77</v>
      </c>
      <c r="E840" s="17" t="s">
        <v>30</v>
      </c>
      <c r="F840" s="18">
        <v>45214</v>
      </c>
      <c r="G840" s="22">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919</v>
      </c>
      <c r="C841" t="s">
        <v>67</v>
      </c>
      <c r="D841">
        <v>133</v>
      </c>
      <c r="E841" s="17" t="s">
        <v>31</v>
      </c>
      <c r="F841" s="18">
        <v>45215</v>
      </c>
      <c r="G841" s="22">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920</v>
      </c>
      <c r="C842" t="s">
        <v>58</v>
      </c>
      <c r="D842">
        <v>77</v>
      </c>
      <c r="E842" s="17" t="s">
        <v>30</v>
      </c>
      <c r="F842" s="18">
        <v>45215</v>
      </c>
      <c r="G842" s="2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921</v>
      </c>
      <c r="C843" t="s">
        <v>62</v>
      </c>
      <c r="D843">
        <v>103</v>
      </c>
      <c r="E843" s="17" t="s">
        <v>31</v>
      </c>
      <c r="F843" s="18">
        <v>45215</v>
      </c>
      <c r="G843" s="22">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922</v>
      </c>
      <c r="C844" t="s">
        <v>59</v>
      </c>
      <c r="D844">
        <v>32</v>
      </c>
      <c r="E844" s="17" t="s">
        <v>30</v>
      </c>
      <c r="F844" s="18">
        <v>45215</v>
      </c>
      <c r="G844" s="22">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923</v>
      </c>
      <c r="C845" t="s">
        <v>67</v>
      </c>
      <c r="D845">
        <v>30</v>
      </c>
      <c r="E845" s="17" t="s">
        <v>31</v>
      </c>
      <c r="F845" s="18">
        <v>45215</v>
      </c>
      <c r="G845" s="22">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924</v>
      </c>
      <c r="C846" t="s">
        <v>64</v>
      </c>
      <c r="D846">
        <v>87</v>
      </c>
      <c r="E846" s="17" t="s">
        <v>32</v>
      </c>
      <c r="F846" s="18">
        <v>45215</v>
      </c>
      <c r="G846" s="22">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925</v>
      </c>
      <c r="C847" t="s">
        <v>58</v>
      </c>
      <c r="D847">
        <v>137</v>
      </c>
      <c r="E847" s="17" t="s">
        <v>33</v>
      </c>
      <c r="F847" s="18">
        <v>45216</v>
      </c>
      <c r="G847" s="22">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926</v>
      </c>
      <c r="C848" t="s">
        <v>61</v>
      </c>
      <c r="D848">
        <v>96</v>
      </c>
      <c r="E848" s="17" t="s">
        <v>31</v>
      </c>
      <c r="F848" s="18">
        <v>45216</v>
      </c>
      <c r="G848" s="22">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927</v>
      </c>
      <c r="C849" t="s">
        <v>60</v>
      </c>
      <c r="D849">
        <v>155</v>
      </c>
      <c r="E849" s="17" t="s">
        <v>31</v>
      </c>
      <c r="F849" s="18">
        <v>45217</v>
      </c>
      <c r="G849" s="22">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928</v>
      </c>
      <c r="C850" t="s">
        <v>67</v>
      </c>
      <c r="D850">
        <v>173</v>
      </c>
      <c r="E850" s="17" t="s">
        <v>22</v>
      </c>
      <c r="F850" s="18">
        <v>45217</v>
      </c>
      <c r="G850" s="22">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929</v>
      </c>
      <c r="C851" t="s">
        <v>60</v>
      </c>
      <c r="D851">
        <v>127</v>
      </c>
      <c r="E851" s="17" t="s">
        <v>31</v>
      </c>
      <c r="F851" s="18">
        <v>45217</v>
      </c>
      <c r="G851" s="22">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930</v>
      </c>
      <c r="C852" t="s">
        <v>54</v>
      </c>
      <c r="D852">
        <v>117</v>
      </c>
      <c r="E852" s="17" t="s">
        <v>22</v>
      </c>
      <c r="F852" s="18">
        <v>45217</v>
      </c>
      <c r="G852" s="2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931</v>
      </c>
      <c r="C853" t="s">
        <v>53</v>
      </c>
      <c r="D853">
        <v>133</v>
      </c>
      <c r="E853" s="17" t="s">
        <v>30</v>
      </c>
      <c r="F853" s="18">
        <v>45217</v>
      </c>
      <c r="G853" s="22">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932</v>
      </c>
      <c r="C854" t="s">
        <v>57</v>
      </c>
      <c r="D854">
        <v>166</v>
      </c>
      <c r="E854" s="17" t="s">
        <v>32</v>
      </c>
      <c r="F854" s="18">
        <v>45218</v>
      </c>
      <c r="G854" s="22">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933</v>
      </c>
      <c r="C855" t="s">
        <v>53</v>
      </c>
      <c r="D855">
        <v>50</v>
      </c>
      <c r="E855" s="17" t="s">
        <v>22</v>
      </c>
      <c r="F855" s="18">
        <v>45218</v>
      </c>
      <c r="G855" s="22">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934</v>
      </c>
      <c r="C856" t="s">
        <v>62</v>
      </c>
      <c r="D856">
        <v>43</v>
      </c>
      <c r="E856" s="17" t="s">
        <v>30</v>
      </c>
      <c r="F856" s="18">
        <v>45218</v>
      </c>
      <c r="G856" s="22">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935</v>
      </c>
      <c r="C857" t="s">
        <v>61</v>
      </c>
      <c r="D857">
        <v>124</v>
      </c>
      <c r="E857" s="17" t="s">
        <v>31</v>
      </c>
      <c r="F857" s="18">
        <v>45218</v>
      </c>
      <c r="G857" s="22">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936</v>
      </c>
      <c r="C858" t="s">
        <v>67</v>
      </c>
      <c r="D858">
        <v>94</v>
      </c>
      <c r="E858" s="17" t="s">
        <v>31</v>
      </c>
      <c r="F858" s="18">
        <v>45218</v>
      </c>
      <c r="G858" s="22">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937</v>
      </c>
      <c r="C859" t="s">
        <v>62</v>
      </c>
      <c r="D859">
        <v>126</v>
      </c>
      <c r="E859" s="17" t="s">
        <v>32</v>
      </c>
      <c r="F859" s="18">
        <v>45219</v>
      </c>
      <c r="G859" s="22">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938</v>
      </c>
      <c r="C860" t="s">
        <v>57</v>
      </c>
      <c r="D860">
        <v>105</v>
      </c>
      <c r="E860" s="17" t="s">
        <v>22</v>
      </c>
      <c r="F860" s="18">
        <v>45219</v>
      </c>
      <c r="G860" s="22">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939</v>
      </c>
      <c r="C861" t="s">
        <v>55</v>
      </c>
      <c r="D861">
        <v>60</v>
      </c>
      <c r="E861" s="17" t="s">
        <v>33</v>
      </c>
      <c r="F861" s="18">
        <v>45220</v>
      </c>
      <c r="G861" s="22">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940</v>
      </c>
      <c r="C862" t="s">
        <v>55</v>
      </c>
      <c r="D862">
        <v>72</v>
      </c>
      <c r="E862" s="17" t="s">
        <v>22</v>
      </c>
      <c r="F862" s="18">
        <v>45220</v>
      </c>
      <c r="G862" s="2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941</v>
      </c>
      <c r="C863" t="s">
        <v>56</v>
      </c>
      <c r="D863">
        <v>40</v>
      </c>
      <c r="E863" s="17" t="s">
        <v>22</v>
      </c>
      <c r="F863" s="18">
        <v>45220</v>
      </c>
      <c r="G863" s="22">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942</v>
      </c>
      <c r="C864" t="s">
        <v>59</v>
      </c>
      <c r="D864">
        <v>54</v>
      </c>
      <c r="E864" s="17" t="s">
        <v>32</v>
      </c>
      <c r="F864" s="18">
        <v>45221</v>
      </c>
      <c r="G864" s="22">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943</v>
      </c>
      <c r="C865" t="s">
        <v>54</v>
      </c>
      <c r="D865">
        <v>81</v>
      </c>
      <c r="E865" s="17" t="s">
        <v>30</v>
      </c>
      <c r="F865" s="18">
        <v>45221</v>
      </c>
      <c r="G865" s="22">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944</v>
      </c>
      <c r="C866" t="s">
        <v>59</v>
      </c>
      <c r="D866">
        <v>76</v>
      </c>
      <c r="E866" s="17" t="s">
        <v>31</v>
      </c>
      <c r="F866" s="18">
        <v>45221</v>
      </c>
      <c r="G866" s="22">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945</v>
      </c>
      <c r="C867" t="s">
        <v>59</v>
      </c>
      <c r="D867">
        <v>37</v>
      </c>
      <c r="E867" s="17" t="s">
        <v>33</v>
      </c>
      <c r="F867" s="18">
        <v>45222</v>
      </c>
      <c r="G867" s="22">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946</v>
      </c>
      <c r="C868" t="s">
        <v>57</v>
      </c>
      <c r="D868">
        <v>96</v>
      </c>
      <c r="E868" s="17" t="s">
        <v>32</v>
      </c>
      <c r="F868" s="18">
        <v>45222</v>
      </c>
      <c r="G868" s="22">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947</v>
      </c>
      <c r="C869" t="s">
        <v>55</v>
      </c>
      <c r="D869">
        <v>19</v>
      </c>
      <c r="E869" s="17" t="s">
        <v>31</v>
      </c>
      <c r="F869" s="18">
        <v>45223</v>
      </c>
      <c r="G869" s="22">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948</v>
      </c>
      <c r="C870" t="s">
        <v>56</v>
      </c>
      <c r="D870">
        <v>72</v>
      </c>
      <c r="E870" s="17" t="s">
        <v>33</v>
      </c>
      <c r="F870" s="18">
        <v>45223</v>
      </c>
      <c r="G870" s="22">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949</v>
      </c>
      <c r="C871" t="s">
        <v>67</v>
      </c>
      <c r="D871">
        <v>73</v>
      </c>
      <c r="E871" s="17" t="s">
        <v>30</v>
      </c>
      <c r="F871" s="18">
        <v>45223</v>
      </c>
      <c r="G871" s="22">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950</v>
      </c>
      <c r="C872" t="s">
        <v>63</v>
      </c>
      <c r="D872">
        <v>87</v>
      </c>
      <c r="E872" s="17" t="s">
        <v>30</v>
      </c>
      <c r="F872" s="18">
        <v>45223</v>
      </c>
      <c r="G872" s="2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951</v>
      </c>
      <c r="C873" t="s">
        <v>63</v>
      </c>
      <c r="D873">
        <v>68</v>
      </c>
      <c r="E873" s="17" t="s">
        <v>30</v>
      </c>
      <c r="F873" s="18">
        <v>45224</v>
      </c>
      <c r="G873" s="22">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952</v>
      </c>
      <c r="C874" t="s">
        <v>56</v>
      </c>
      <c r="D874">
        <v>101</v>
      </c>
      <c r="E874" s="17" t="s">
        <v>30</v>
      </c>
      <c r="F874" s="18">
        <v>45224</v>
      </c>
      <c r="G874" s="22">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953</v>
      </c>
      <c r="C875" t="s">
        <v>56</v>
      </c>
      <c r="D875">
        <v>107</v>
      </c>
      <c r="E875" s="17" t="s">
        <v>33</v>
      </c>
      <c r="F875" s="18">
        <v>45225</v>
      </c>
      <c r="G875" s="22">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954</v>
      </c>
      <c r="C876" t="s">
        <v>66</v>
      </c>
      <c r="D876">
        <v>109</v>
      </c>
      <c r="E876" s="17" t="s">
        <v>22</v>
      </c>
      <c r="F876" s="18">
        <v>45225</v>
      </c>
      <c r="G876" s="22">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955</v>
      </c>
      <c r="C877" t="s">
        <v>61</v>
      </c>
      <c r="D877">
        <v>171</v>
      </c>
      <c r="E877" s="17" t="s">
        <v>33</v>
      </c>
      <c r="F877" s="18">
        <v>45225</v>
      </c>
      <c r="G877" s="22">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956</v>
      </c>
      <c r="C878" t="s">
        <v>55</v>
      </c>
      <c r="D878">
        <v>21</v>
      </c>
      <c r="E878" s="17" t="s">
        <v>33</v>
      </c>
      <c r="F878" s="18">
        <v>45225</v>
      </c>
      <c r="G878" s="22">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957</v>
      </c>
      <c r="C879" t="s">
        <v>54</v>
      </c>
      <c r="D879">
        <v>94</v>
      </c>
      <c r="E879" s="17" t="s">
        <v>33</v>
      </c>
      <c r="F879" s="18">
        <v>45226</v>
      </c>
      <c r="G879" s="22">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958</v>
      </c>
      <c r="C880" t="s">
        <v>67</v>
      </c>
      <c r="D880">
        <v>97</v>
      </c>
      <c r="E880" s="17" t="s">
        <v>22</v>
      </c>
      <c r="F880" s="18">
        <v>45226</v>
      </c>
      <c r="G880" s="22">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959</v>
      </c>
      <c r="C881" t="s">
        <v>57</v>
      </c>
      <c r="D881">
        <v>72</v>
      </c>
      <c r="E881" s="17" t="s">
        <v>22</v>
      </c>
      <c r="F881" s="18">
        <v>45226</v>
      </c>
      <c r="G881" s="22">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960</v>
      </c>
      <c r="C882" t="s">
        <v>61</v>
      </c>
      <c r="D882">
        <v>143</v>
      </c>
      <c r="E882" s="17" t="s">
        <v>32</v>
      </c>
      <c r="F882" s="18">
        <v>45227</v>
      </c>
      <c r="G882" s="2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961</v>
      </c>
      <c r="C883" t="s">
        <v>61</v>
      </c>
      <c r="D883">
        <v>64</v>
      </c>
      <c r="E883" s="17" t="s">
        <v>22</v>
      </c>
      <c r="F883" s="18">
        <v>45227</v>
      </c>
      <c r="G883" s="22">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962</v>
      </c>
      <c r="C884" t="s">
        <v>61</v>
      </c>
      <c r="D884">
        <v>69</v>
      </c>
      <c r="E884" s="17" t="s">
        <v>22</v>
      </c>
      <c r="F884" s="18">
        <v>45227</v>
      </c>
      <c r="G884" s="22">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963</v>
      </c>
      <c r="C885" t="s">
        <v>61</v>
      </c>
      <c r="D885">
        <v>18</v>
      </c>
      <c r="E885" s="17" t="s">
        <v>31</v>
      </c>
      <c r="F885" s="18">
        <v>45227</v>
      </c>
      <c r="G885" s="22">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964</v>
      </c>
      <c r="C886" t="s">
        <v>67</v>
      </c>
      <c r="D886">
        <v>100</v>
      </c>
      <c r="E886" s="17" t="s">
        <v>32</v>
      </c>
      <c r="F886" s="18">
        <v>45227</v>
      </c>
      <c r="G886" s="22">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965</v>
      </c>
      <c r="C887" t="s">
        <v>60</v>
      </c>
      <c r="D887">
        <v>110</v>
      </c>
      <c r="E887" s="17" t="s">
        <v>30</v>
      </c>
      <c r="F887" s="18">
        <v>45228</v>
      </c>
      <c r="G887" s="22">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966</v>
      </c>
      <c r="C888" t="s">
        <v>65</v>
      </c>
      <c r="D888">
        <v>41</v>
      </c>
      <c r="E888" s="17" t="s">
        <v>33</v>
      </c>
      <c r="F888" s="18">
        <v>45228</v>
      </c>
      <c r="G888" s="22">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967</v>
      </c>
      <c r="C889" t="s">
        <v>60</v>
      </c>
      <c r="D889">
        <v>147</v>
      </c>
      <c r="E889" s="17" t="s">
        <v>30</v>
      </c>
      <c r="F889" s="18">
        <v>45228</v>
      </c>
      <c r="G889" s="22">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968</v>
      </c>
      <c r="C890" t="s">
        <v>54</v>
      </c>
      <c r="D890">
        <v>31</v>
      </c>
      <c r="E890" s="17" t="s">
        <v>31</v>
      </c>
      <c r="F890" s="18">
        <v>45229</v>
      </c>
      <c r="G890" s="22">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969</v>
      </c>
      <c r="C891" t="s">
        <v>63</v>
      </c>
      <c r="D891">
        <v>142</v>
      </c>
      <c r="E891" s="17" t="s">
        <v>33</v>
      </c>
      <c r="F891" s="18">
        <v>45229</v>
      </c>
      <c r="G891" s="22">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970</v>
      </c>
      <c r="C892" t="s">
        <v>66</v>
      </c>
      <c r="D892">
        <v>61</v>
      </c>
      <c r="E892" s="17" t="s">
        <v>33</v>
      </c>
      <c r="F892" s="18">
        <v>45229</v>
      </c>
      <c r="G892" s="2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971</v>
      </c>
      <c r="C893" t="s">
        <v>53</v>
      </c>
      <c r="D893">
        <v>86</v>
      </c>
      <c r="E893" s="17" t="s">
        <v>31</v>
      </c>
      <c r="F893" s="18">
        <v>45230</v>
      </c>
      <c r="G893" s="22">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972</v>
      </c>
      <c r="C894" t="s">
        <v>64</v>
      </c>
      <c r="D894">
        <v>165</v>
      </c>
      <c r="E894" s="17" t="s">
        <v>32</v>
      </c>
      <c r="F894" s="18">
        <v>45231</v>
      </c>
      <c r="G894" s="22">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973</v>
      </c>
      <c r="C895" t="s">
        <v>59</v>
      </c>
      <c r="D895">
        <v>62</v>
      </c>
      <c r="E895" s="17" t="s">
        <v>30</v>
      </c>
      <c r="F895" s="18">
        <v>45231</v>
      </c>
      <c r="G895" s="22">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974</v>
      </c>
      <c r="C896" t="s">
        <v>67</v>
      </c>
      <c r="D896">
        <v>103</v>
      </c>
      <c r="E896" s="17" t="s">
        <v>32</v>
      </c>
      <c r="F896" s="18">
        <v>45232</v>
      </c>
      <c r="G896" s="22">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975</v>
      </c>
      <c r="C897" t="s">
        <v>63</v>
      </c>
      <c r="D897">
        <v>56</v>
      </c>
      <c r="E897" s="17" t="s">
        <v>31</v>
      </c>
      <c r="F897" s="18">
        <v>45233</v>
      </c>
      <c r="G897" s="22">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976</v>
      </c>
      <c r="C898" t="s">
        <v>56</v>
      </c>
      <c r="D898">
        <v>114</v>
      </c>
      <c r="E898" s="17" t="s">
        <v>33</v>
      </c>
      <c r="F898" s="18">
        <v>45234</v>
      </c>
      <c r="G898" s="22">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977</v>
      </c>
      <c r="C899" t="s">
        <v>63</v>
      </c>
      <c r="D899">
        <v>112</v>
      </c>
      <c r="E899" s="17" t="s">
        <v>22</v>
      </c>
      <c r="F899" s="18">
        <v>45234</v>
      </c>
      <c r="G899" s="22">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978</v>
      </c>
      <c r="C900" t="s">
        <v>58</v>
      </c>
      <c r="D900">
        <v>52</v>
      </c>
      <c r="E900" s="17" t="s">
        <v>30</v>
      </c>
      <c r="F900" s="18">
        <v>45236</v>
      </c>
      <c r="G900" s="22">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979</v>
      </c>
      <c r="C901" t="s">
        <v>67</v>
      </c>
      <c r="D901">
        <v>105</v>
      </c>
      <c r="E901" s="17" t="s">
        <v>32</v>
      </c>
      <c r="F901" s="18">
        <v>45237</v>
      </c>
      <c r="G901" s="22">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980</v>
      </c>
      <c r="C902" t="s">
        <v>64</v>
      </c>
      <c r="D902">
        <v>91</v>
      </c>
      <c r="E902" s="17" t="s">
        <v>31</v>
      </c>
      <c r="F902" s="18">
        <v>45237</v>
      </c>
      <c r="G902" s="2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981</v>
      </c>
      <c r="C903" t="s">
        <v>62</v>
      </c>
      <c r="D903">
        <v>74</v>
      </c>
      <c r="E903" s="17" t="s">
        <v>33</v>
      </c>
      <c r="F903" s="18">
        <v>45238</v>
      </c>
      <c r="G903" s="22">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982</v>
      </c>
      <c r="C904" t="s">
        <v>62</v>
      </c>
      <c r="D904">
        <v>30</v>
      </c>
      <c r="E904" s="17" t="s">
        <v>31</v>
      </c>
      <c r="F904" s="18">
        <v>45238</v>
      </c>
      <c r="G904" s="22">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983</v>
      </c>
      <c r="C905" t="s">
        <v>64</v>
      </c>
      <c r="D905">
        <v>56</v>
      </c>
      <c r="E905" s="17" t="s">
        <v>30</v>
      </c>
      <c r="F905" s="18">
        <v>45238</v>
      </c>
      <c r="G905" s="22">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984</v>
      </c>
      <c r="C906" t="s">
        <v>62</v>
      </c>
      <c r="D906">
        <v>151</v>
      </c>
      <c r="E906" s="17" t="s">
        <v>22</v>
      </c>
      <c r="F906" s="18">
        <v>45238</v>
      </c>
      <c r="G906" s="22">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985</v>
      </c>
      <c r="C907" t="s">
        <v>54</v>
      </c>
      <c r="D907">
        <v>108</v>
      </c>
      <c r="E907" s="17" t="s">
        <v>32</v>
      </c>
      <c r="F907" s="18">
        <v>45239</v>
      </c>
      <c r="G907" s="22">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986</v>
      </c>
      <c r="C908" t="s">
        <v>56</v>
      </c>
      <c r="D908">
        <v>124</v>
      </c>
      <c r="E908" s="17" t="s">
        <v>33</v>
      </c>
      <c r="F908" s="18">
        <v>45239</v>
      </c>
      <c r="G908" s="22">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987</v>
      </c>
      <c r="C909" t="s">
        <v>67</v>
      </c>
      <c r="D909">
        <v>110</v>
      </c>
      <c r="E909" s="17" t="s">
        <v>30</v>
      </c>
      <c r="F909" s="18">
        <v>45240</v>
      </c>
      <c r="G909" s="22">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988</v>
      </c>
      <c r="C910" t="s">
        <v>60</v>
      </c>
      <c r="D910">
        <v>89</v>
      </c>
      <c r="E910" s="17" t="s">
        <v>32</v>
      </c>
      <c r="F910" s="18">
        <v>45240</v>
      </c>
      <c r="G910" s="22">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989</v>
      </c>
      <c r="C911" t="s">
        <v>53</v>
      </c>
      <c r="D911">
        <v>95</v>
      </c>
      <c r="E911" s="17" t="s">
        <v>30</v>
      </c>
      <c r="F911" s="18">
        <v>45240</v>
      </c>
      <c r="G911" s="22">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990</v>
      </c>
      <c r="C912" t="s">
        <v>62</v>
      </c>
      <c r="D912">
        <v>84</v>
      </c>
      <c r="E912" s="17" t="s">
        <v>32</v>
      </c>
      <c r="F912" s="18">
        <v>45241</v>
      </c>
      <c r="G912" s="2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991</v>
      </c>
      <c r="C913" t="s">
        <v>57</v>
      </c>
      <c r="D913">
        <v>89</v>
      </c>
      <c r="E913" s="17" t="s">
        <v>33</v>
      </c>
      <c r="F913" s="18">
        <v>45241</v>
      </c>
      <c r="G913" s="22">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992</v>
      </c>
      <c r="C914" t="s">
        <v>60</v>
      </c>
      <c r="D914">
        <v>146</v>
      </c>
      <c r="E914" s="17" t="s">
        <v>33</v>
      </c>
      <c r="F914" s="18">
        <v>45242</v>
      </c>
      <c r="G914" s="22">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993</v>
      </c>
      <c r="C915" t="s">
        <v>61</v>
      </c>
      <c r="D915">
        <v>62</v>
      </c>
      <c r="E915" s="17" t="s">
        <v>31</v>
      </c>
      <c r="F915" s="18">
        <v>45243</v>
      </c>
      <c r="G915" s="22">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994</v>
      </c>
      <c r="C916" t="s">
        <v>63</v>
      </c>
      <c r="D916">
        <v>82</v>
      </c>
      <c r="E916" s="17" t="s">
        <v>33</v>
      </c>
      <c r="F916" s="18">
        <v>45243</v>
      </c>
      <c r="G916" s="22">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995</v>
      </c>
      <c r="C917" t="s">
        <v>66</v>
      </c>
      <c r="D917">
        <v>91</v>
      </c>
      <c r="E917" s="17" t="s">
        <v>22</v>
      </c>
      <c r="F917" s="18">
        <v>45243</v>
      </c>
      <c r="G917" s="22">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996</v>
      </c>
      <c r="C918" t="s">
        <v>57</v>
      </c>
      <c r="D918">
        <v>39</v>
      </c>
      <c r="E918" s="17" t="s">
        <v>33</v>
      </c>
      <c r="F918" s="18">
        <v>45244</v>
      </c>
      <c r="G918" s="22">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997</v>
      </c>
      <c r="C919" t="s">
        <v>60</v>
      </c>
      <c r="D919">
        <v>149</v>
      </c>
      <c r="E919" s="17" t="s">
        <v>30</v>
      </c>
      <c r="F919" s="18">
        <v>45244</v>
      </c>
      <c r="G919" s="22">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998</v>
      </c>
      <c r="C920" t="s">
        <v>63</v>
      </c>
      <c r="D920">
        <v>138</v>
      </c>
      <c r="E920" s="17" t="s">
        <v>31</v>
      </c>
      <c r="F920" s="18">
        <v>45244</v>
      </c>
      <c r="G920" s="22">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999</v>
      </c>
      <c r="C921" t="s">
        <v>61</v>
      </c>
      <c r="D921">
        <v>113</v>
      </c>
      <c r="E921" s="17" t="s">
        <v>30</v>
      </c>
      <c r="F921" s="18">
        <v>45245</v>
      </c>
      <c r="G921" s="22">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1000</v>
      </c>
      <c r="C922" t="s">
        <v>55</v>
      </c>
      <c r="D922">
        <v>88</v>
      </c>
      <c r="E922" s="17" t="s">
        <v>33</v>
      </c>
      <c r="F922" s="18">
        <v>45245</v>
      </c>
      <c r="G922" s="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1001</v>
      </c>
      <c r="C923" t="s">
        <v>53</v>
      </c>
      <c r="D923">
        <v>64</v>
      </c>
      <c r="E923" s="17" t="s">
        <v>31</v>
      </c>
      <c r="F923" s="18">
        <v>45245</v>
      </c>
      <c r="G923" s="22">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1002</v>
      </c>
      <c r="C924" t="s">
        <v>64</v>
      </c>
      <c r="D924">
        <v>53</v>
      </c>
      <c r="E924" s="17" t="s">
        <v>31</v>
      </c>
      <c r="F924" s="18">
        <v>45246</v>
      </c>
      <c r="G924" s="22">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1003</v>
      </c>
      <c r="C925" t="s">
        <v>56</v>
      </c>
      <c r="D925">
        <v>63</v>
      </c>
      <c r="E925" s="17" t="s">
        <v>30</v>
      </c>
      <c r="F925" s="18">
        <v>45246</v>
      </c>
      <c r="G925" s="22">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1004</v>
      </c>
      <c r="C926" t="s">
        <v>58</v>
      </c>
      <c r="D926">
        <v>54</v>
      </c>
      <c r="E926" s="17" t="s">
        <v>30</v>
      </c>
      <c r="F926" s="18">
        <v>45247</v>
      </c>
      <c r="G926" s="22">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1005</v>
      </c>
      <c r="C927" t="s">
        <v>56</v>
      </c>
      <c r="D927">
        <v>54</v>
      </c>
      <c r="E927" s="17" t="s">
        <v>33</v>
      </c>
      <c r="F927" s="18">
        <v>45247</v>
      </c>
      <c r="G927" s="22">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1006</v>
      </c>
      <c r="C928" t="s">
        <v>60</v>
      </c>
      <c r="D928">
        <v>71</v>
      </c>
      <c r="E928" s="17" t="s">
        <v>31</v>
      </c>
      <c r="F928" s="18">
        <v>45247</v>
      </c>
      <c r="G928" s="22">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1007</v>
      </c>
      <c r="C929" t="s">
        <v>56</v>
      </c>
      <c r="D929">
        <v>93</v>
      </c>
      <c r="E929" s="17" t="s">
        <v>33</v>
      </c>
      <c r="F929" s="18">
        <v>45248</v>
      </c>
      <c r="G929" s="22">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1008</v>
      </c>
      <c r="C930" t="s">
        <v>67</v>
      </c>
      <c r="D930">
        <v>96</v>
      </c>
      <c r="E930" s="17" t="s">
        <v>30</v>
      </c>
      <c r="F930" s="18">
        <v>45248</v>
      </c>
      <c r="G930" s="22">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1009</v>
      </c>
      <c r="C931" t="s">
        <v>57</v>
      </c>
      <c r="D931">
        <v>31</v>
      </c>
      <c r="E931" s="17" t="s">
        <v>22</v>
      </c>
      <c r="F931" s="18">
        <v>45248</v>
      </c>
      <c r="G931" s="22">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1010</v>
      </c>
      <c r="C932" t="s">
        <v>56</v>
      </c>
      <c r="D932">
        <v>107</v>
      </c>
      <c r="E932" s="17" t="s">
        <v>31</v>
      </c>
      <c r="F932" s="18">
        <v>45248</v>
      </c>
      <c r="G932" s="2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1011</v>
      </c>
      <c r="C933" t="s">
        <v>64</v>
      </c>
      <c r="D933">
        <v>50</v>
      </c>
      <c r="E933" s="17" t="s">
        <v>22</v>
      </c>
      <c r="F933" s="18">
        <v>45249</v>
      </c>
      <c r="G933" s="22">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1012</v>
      </c>
      <c r="C934" t="s">
        <v>63</v>
      </c>
      <c r="D934">
        <v>69</v>
      </c>
      <c r="E934" s="17" t="s">
        <v>31</v>
      </c>
      <c r="F934" s="18">
        <v>45250</v>
      </c>
      <c r="G934" s="22">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1013</v>
      </c>
      <c r="C935" t="s">
        <v>55</v>
      </c>
      <c r="D935">
        <v>26</v>
      </c>
      <c r="E935" s="17" t="s">
        <v>30</v>
      </c>
      <c r="F935" s="18">
        <v>45251</v>
      </c>
      <c r="G935" s="22">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1014</v>
      </c>
      <c r="C936" t="s">
        <v>67</v>
      </c>
      <c r="D936">
        <v>158</v>
      </c>
      <c r="E936" s="17" t="s">
        <v>31</v>
      </c>
      <c r="F936" s="18">
        <v>45251</v>
      </c>
      <c r="G936" s="22">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1015</v>
      </c>
      <c r="C937" t="s">
        <v>58</v>
      </c>
      <c r="D937">
        <v>99</v>
      </c>
      <c r="E937" s="17" t="s">
        <v>31</v>
      </c>
      <c r="F937" s="18">
        <v>45253</v>
      </c>
      <c r="G937" s="22">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1016</v>
      </c>
      <c r="C938" t="s">
        <v>67</v>
      </c>
      <c r="D938">
        <v>78</v>
      </c>
      <c r="E938" s="17" t="s">
        <v>22</v>
      </c>
      <c r="F938" s="18">
        <v>45253</v>
      </c>
      <c r="G938" s="22">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1017</v>
      </c>
      <c r="C939" t="s">
        <v>67</v>
      </c>
      <c r="D939">
        <v>102</v>
      </c>
      <c r="E939" s="17" t="s">
        <v>30</v>
      </c>
      <c r="F939" s="18">
        <v>45254</v>
      </c>
      <c r="G939" s="22">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1018</v>
      </c>
      <c r="C940" t="s">
        <v>58</v>
      </c>
      <c r="D940">
        <v>158</v>
      </c>
      <c r="E940" s="17" t="s">
        <v>32</v>
      </c>
      <c r="F940" s="18">
        <v>45254</v>
      </c>
      <c r="G940" s="22">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1019</v>
      </c>
      <c r="C941" t="s">
        <v>57</v>
      </c>
      <c r="D941">
        <v>56</v>
      </c>
      <c r="E941" s="17" t="s">
        <v>31</v>
      </c>
      <c r="F941" s="18">
        <v>45254</v>
      </c>
      <c r="G941" s="22">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1020</v>
      </c>
      <c r="C942" t="s">
        <v>54</v>
      </c>
      <c r="D942">
        <v>17</v>
      </c>
      <c r="E942" s="17" t="s">
        <v>33</v>
      </c>
      <c r="F942" s="18">
        <v>45254</v>
      </c>
      <c r="G942" s="2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1021</v>
      </c>
      <c r="C943" t="s">
        <v>55</v>
      </c>
      <c r="D943">
        <v>104</v>
      </c>
      <c r="E943" s="17" t="s">
        <v>32</v>
      </c>
      <c r="F943" s="18">
        <v>45256</v>
      </c>
      <c r="G943" s="22">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1022</v>
      </c>
      <c r="C944" t="s">
        <v>62</v>
      </c>
      <c r="D944">
        <v>96</v>
      </c>
      <c r="E944" s="17" t="s">
        <v>22</v>
      </c>
      <c r="F944" s="18">
        <v>45256</v>
      </c>
      <c r="G944" s="22">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1023</v>
      </c>
      <c r="C945" t="s">
        <v>66</v>
      </c>
      <c r="D945">
        <v>83</v>
      </c>
      <c r="E945" s="17" t="s">
        <v>30</v>
      </c>
      <c r="F945" s="18">
        <v>45257</v>
      </c>
      <c r="G945" s="22">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1024</v>
      </c>
      <c r="C946" t="s">
        <v>64</v>
      </c>
      <c r="D946">
        <v>80</v>
      </c>
      <c r="E946" s="17" t="s">
        <v>33</v>
      </c>
      <c r="F946" s="18">
        <v>45258</v>
      </c>
      <c r="G946" s="22">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1025</v>
      </c>
      <c r="C947" t="s">
        <v>66</v>
      </c>
      <c r="D947">
        <v>152</v>
      </c>
      <c r="E947" s="17" t="s">
        <v>30</v>
      </c>
      <c r="F947" s="18">
        <v>45258</v>
      </c>
      <c r="G947" s="22">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1026</v>
      </c>
      <c r="C948" t="s">
        <v>60</v>
      </c>
      <c r="D948">
        <v>34</v>
      </c>
      <c r="E948" s="17" t="s">
        <v>22</v>
      </c>
      <c r="F948" s="18">
        <v>45258</v>
      </c>
      <c r="G948" s="22">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1027</v>
      </c>
      <c r="C949" t="s">
        <v>61</v>
      </c>
      <c r="D949">
        <v>2</v>
      </c>
      <c r="E949" s="17" t="s">
        <v>31</v>
      </c>
      <c r="F949" s="18">
        <v>45259</v>
      </c>
      <c r="G949" s="22">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1028</v>
      </c>
      <c r="C950" t="s">
        <v>64</v>
      </c>
      <c r="D950">
        <v>140</v>
      </c>
      <c r="E950" s="17" t="s">
        <v>22</v>
      </c>
      <c r="F950" s="18">
        <v>45260</v>
      </c>
      <c r="G950" s="22">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1029</v>
      </c>
      <c r="C951" t="s">
        <v>54</v>
      </c>
      <c r="D951">
        <v>126</v>
      </c>
      <c r="E951" s="17" t="s">
        <v>32</v>
      </c>
      <c r="F951" s="18">
        <v>45261</v>
      </c>
      <c r="G951" s="22">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1030</v>
      </c>
      <c r="C952" t="s">
        <v>67</v>
      </c>
      <c r="D952">
        <v>79</v>
      </c>
      <c r="E952" s="17" t="s">
        <v>31</v>
      </c>
      <c r="F952" s="18">
        <v>45261</v>
      </c>
      <c r="G952" s="2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1031</v>
      </c>
      <c r="C953" t="s">
        <v>54</v>
      </c>
      <c r="D953">
        <v>133</v>
      </c>
      <c r="E953" s="17" t="s">
        <v>32</v>
      </c>
      <c r="F953" s="18">
        <v>45261</v>
      </c>
      <c r="G953" s="22">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1032</v>
      </c>
      <c r="C954" t="s">
        <v>60</v>
      </c>
      <c r="D954">
        <v>97</v>
      </c>
      <c r="E954" s="17" t="s">
        <v>33</v>
      </c>
      <c r="F954" s="18">
        <v>45261</v>
      </c>
      <c r="G954" s="22">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1033</v>
      </c>
      <c r="C955" t="s">
        <v>67</v>
      </c>
      <c r="D955">
        <v>102</v>
      </c>
      <c r="E955" s="17" t="s">
        <v>30</v>
      </c>
      <c r="F955" s="18">
        <v>45262</v>
      </c>
      <c r="G955" s="22">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1034</v>
      </c>
      <c r="C956" t="s">
        <v>65</v>
      </c>
      <c r="D956">
        <v>62</v>
      </c>
      <c r="E956" s="17" t="s">
        <v>33</v>
      </c>
      <c r="F956" s="18">
        <v>45262</v>
      </c>
      <c r="G956" s="22">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1035</v>
      </c>
      <c r="C957" t="s">
        <v>54</v>
      </c>
      <c r="D957">
        <v>149</v>
      </c>
      <c r="E957" s="17" t="s">
        <v>30</v>
      </c>
      <c r="F957" s="18">
        <v>45263</v>
      </c>
      <c r="G957" s="22">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1036</v>
      </c>
      <c r="C958" t="s">
        <v>61</v>
      </c>
      <c r="D958">
        <v>133</v>
      </c>
      <c r="E958" s="17" t="s">
        <v>33</v>
      </c>
      <c r="F958" s="18">
        <v>45263</v>
      </c>
      <c r="G958" s="22">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1037</v>
      </c>
      <c r="C959" t="s">
        <v>67</v>
      </c>
      <c r="D959">
        <v>51</v>
      </c>
      <c r="E959" s="17" t="s">
        <v>31</v>
      </c>
      <c r="F959" s="18">
        <v>45263</v>
      </c>
      <c r="G959" s="22">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1038</v>
      </c>
      <c r="C960" t="s">
        <v>65</v>
      </c>
      <c r="D960">
        <v>110</v>
      </c>
      <c r="E960" s="17" t="s">
        <v>33</v>
      </c>
      <c r="F960" s="18">
        <v>45264</v>
      </c>
      <c r="G960" s="22">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1039</v>
      </c>
      <c r="C961" t="s">
        <v>60</v>
      </c>
      <c r="D961">
        <v>38</v>
      </c>
      <c r="E961" s="17" t="s">
        <v>32</v>
      </c>
      <c r="F961" s="18">
        <v>45265</v>
      </c>
      <c r="G961" s="22">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1040</v>
      </c>
      <c r="C962" t="s">
        <v>61</v>
      </c>
      <c r="D962">
        <v>78</v>
      </c>
      <c r="E962" s="17" t="s">
        <v>32</v>
      </c>
      <c r="F962" s="18">
        <v>45267</v>
      </c>
      <c r="G962" s="2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1041</v>
      </c>
      <c r="C963" t="s">
        <v>60</v>
      </c>
      <c r="D963">
        <v>25</v>
      </c>
      <c r="E963" s="17" t="s">
        <v>30</v>
      </c>
      <c r="F963" s="18">
        <v>45268</v>
      </c>
      <c r="G963" s="22">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1042</v>
      </c>
      <c r="C964" t="s">
        <v>56</v>
      </c>
      <c r="D964">
        <v>50</v>
      </c>
      <c r="E964" s="17" t="s">
        <v>31</v>
      </c>
      <c r="F964" s="18">
        <v>45268</v>
      </c>
      <c r="G964" s="22">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1043</v>
      </c>
      <c r="C965" t="s">
        <v>60</v>
      </c>
      <c r="D965">
        <v>103</v>
      </c>
      <c r="E965" s="17" t="s">
        <v>30</v>
      </c>
      <c r="F965" s="18">
        <v>45269</v>
      </c>
      <c r="G965" s="22">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1044</v>
      </c>
      <c r="C966" t="s">
        <v>66</v>
      </c>
      <c r="D966">
        <v>63</v>
      </c>
      <c r="E966" s="17" t="s">
        <v>22</v>
      </c>
      <c r="F966" s="18">
        <v>45269</v>
      </c>
      <c r="G966" s="22">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1045</v>
      </c>
      <c r="C967" t="s">
        <v>56</v>
      </c>
      <c r="D967">
        <v>96</v>
      </c>
      <c r="E967" s="17" t="s">
        <v>31</v>
      </c>
      <c r="F967" s="18">
        <v>45273</v>
      </c>
      <c r="G967" s="22">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1046</v>
      </c>
      <c r="C968" t="s">
        <v>64</v>
      </c>
      <c r="D968">
        <v>94</v>
      </c>
      <c r="E968" s="17" t="s">
        <v>30</v>
      </c>
      <c r="F968" s="18">
        <v>45273</v>
      </c>
      <c r="G968" s="22">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1047</v>
      </c>
      <c r="C969" t="s">
        <v>65</v>
      </c>
      <c r="D969">
        <v>46</v>
      </c>
      <c r="E969" s="17" t="s">
        <v>32</v>
      </c>
      <c r="F969" s="18">
        <v>45274</v>
      </c>
      <c r="G969" s="22">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1048</v>
      </c>
      <c r="C970" t="s">
        <v>59</v>
      </c>
      <c r="D970">
        <v>127</v>
      </c>
      <c r="E970" s="17" t="s">
        <v>31</v>
      </c>
      <c r="F970" s="18">
        <v>45275</v>
      </c>
      <c r="G970" s="22">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1049</v>
      </c>
      <c r="C971" t="s">
        <v>58</v>
      </c>
      <c r="D971">
        <v>96</v>
      </c>
      <c r="E971" s="17" t="s">
        <v>32</v>
      </c>
      <c r="F971" s="18">
        <v>45275</v>
      </c>
      <c r="G971" s="22">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1050</v>
      </c>
      <c r="C972" t="s">
        <v>63</v>
      </c>
      <c r="D972">
        <v>151</v>
      </c>
      <c r="E972" s="17" t="s">
        <v>30</v>
      </c>
      <c r="F972" s="18">
        <v>45275</v>
      </c>
      <c r="G972" s="2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1051</v>
      </c>
      <c r="C973" t="s">
        <v>59</v>
      </c>
      <c r="D973">
        <v>158</v>
      </c>
      <c r="E973" s="17" t="s">
        <v>33</v>
      </c>
      <c r="F973" s="18">
        <v>45276</v>
      </c>
      <c r="G973" s="22">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1052</v>
      </c>
      <c r="C974" t="s">
        <v>64</v>
      </c>
      <c r="D974">
        <v>45</v>
      </c>
      <c r="E974" s="17" t="s">
        <v>33</v>
      </c>
      <c r="F974" s="18">
        <v>45276</v>
      </c>
      <c r="G974" s="22">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1053</v>
      </c>
      <c r="C975" t="s">
        <v>57</v>
      </c>
      <c r="D975">
        <v>141</v>
      </c>
      <c r="E975" s="17" t="s">
        <v>33</v>
      </c>
      <c r="F975" s="18">
        <v>45276</v>
      </c>
      <c r="G975" s="22">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1054</v>
      </c>
      <c r="C976" t="s">
        <v>60</v>
      </c>
      <c r="D976">
        <v>147</v>
      </c>
      <c r="E976" s="17" t="s">
        <v>32</v>
      </c>
      <c r="F976" s="18">
        <v>45276</v>
      </c>
      <c r="G976" s="22">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1055</v>
      </c>
      <c r="C977" t="s">
        <v>62</v>
      </c>
      <c r="D977">
        <v>126</v>
      </c>
      <c r="E977" s="17" t="s">
        <v>32</v>
      </c>
      <c r="F977" s="18">
        <v>45276</v>
      </c>
      <c r="G977" s="22">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1056</v>
      </c>
      <c r="C978" t="s">
        <v>64</v>
      </c>
      <c r="D978">
        <v>126</v>
      </c>
      <c r="E978" s="17" t="s">
        <v>22</v>
      </c>
      <c r="F978" s="18">
        <v>45277</v>
      </c>
      <c r="G978" s="22">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1057</v>
      </c>
      <c r="C979" t="s">
        <v>61</v>
      </c>
      <c r="D979">
        <v>32</v>
      </c>
      <c r="E979" s="17" t="s">
        <v>32</v>
      </c>
      <c r="F979" s="18">
        <v>45277</v>
      </c>
      <c r="G979" s="22">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1058</v>
      </c>
      <c r="C980" t="s">
        <v>64</v>
      </c>
      <c r="D980">
        <v>84</v>
      </c>
      <c r="E980" s="17" t="s">
        <v>31</v>
      </c>
      <c r="F980" s="18">
        <v>45279</v>
      </c>
      <c r="G980" s="22">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1059</v>
      </c>
      <c r="C981" t="s">
        <v>66</v>
      </c>
      <c r="D981">
        <v>120</v>
      </c>
      <c r="E981" s="17" t="s">
        <v>22</v>
      </c>
      <c r="F981" s="18">
        <v>45280</v>
      </c>
      <c r="G981" s="22">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1060</v>
      </c>
      <c r="C982" t="s">
        <v>55</v>
      </c>
      <c r="D982">
        <v>93</v>
      </c>
      <c r="E982" s="17" t="s">
        <v>32</v>
      </c>
      <c r="F982" s="18">
        <v>45280</v>
      </c>
      <c r="G982" s="2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1061</v>
      </c>
      <c r="C983" t="s">
        <v>58</v>
      </c>
      <c r="D983">
        <v>76</v>
      </c>
      <c r="E983" s="17" t="s">
        <v>30</v>
      </c>
      <c r="F983" s="18">
        <v>45281</v>
      </c>
      <c r="G983" s="22">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1062</v>
      </c>
      <c r="C984" t="s">
        <v>59</v>
      </c>
      <c r="D984">
        <v>89</v>
      </c>
      <c r="E984" s="17" t="s">
        <v>32</v>
      </c>
      <c r="F984" s="18">
        <v>45284</v>
      </c>
      <c r="G984" s="22">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1063</v>
      </c>
      <c r="C985" t="s">
        <v>67</v>
      </c>
      <c r="D985">
        <v>91</v>
      </c>
      <c r="E985" s="17" t="s">
        <v>31</v>
      </c>
      <c r="F985" s="18">
        <v>45284</v>
      </c>
      <c r="G985" s="22">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1064</v>
      </c>
      <c r="C986" t="s">
        <v>65</v>
      </c>
      <c r="D986">
        <v>7</v>
      </c>
      <c r="E986" s="17" t="s">
        <v>33</v>
      </c>
      <c r="F986" s="18">
        <v>45285</v>
      </c>
      <c r="G986" s="22">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1065</v>
      </c>
      <c r="C987" t="s">
        <v>61</v>
      </c>
      <c r="D987">
        <v>140</v>
      </c>
      <c r="E987" s="17" t="s">
        <v>33</v>
      </c>
      <c r="F987" s="18">
        <v>45285</v>
      </c>
      <c r="G987" s="22">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1066</v>
      </c>
      <c r="C988" t="s">
        <v>54</v>
      </c>
      <c r="D988">
        <v>58</v>
      </c>
      <c r="E988" s="17" t="s">
        <v>22</v>
      </c>
      <c r="F988" s="18">
        <v>45285</v>
      </c>
      <c r="G988" s="22">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1067</v>
      </c>
      <c r="C989" t="s">
        <v>53</v>
      </c>
      <c r="D989">
        <v>90</v>
      </c>
      <c r="E989" s="17" t="s">
        <v>30</v>
      </c>
      <c r="F989" s="18">
        <v>45286</v>
      </c>
      <c r="G989" s="22">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1068</v>
      </c>
      <c r="C990" t="s">
        <v>53</v>
      </c>
      <c r="D990">
        <v>106</v>
      </c>
      <c r="E990" s="17" t="s">
        <v>32</v>
      </c>
      <c r="F990" s="18">
        <v>45287</v>
      </c>
      <c r="G990" s="22">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1069</v>
      </c>
      <c r="C991" t="s">
        <v>66</v>
      </c>
      <c r="D991">
        <v>72</v>
      </c>
      <c r="E991" s="17" t="s">
        <v>33</v>
      </c>
      <c r="F991" s="18">
        <v>45287</v>
      </c>
      <c r="G991" s="22">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1070</v>
      </c>
      <c r="C992" t="s">
        <v>65</v>
      </c>
      <c r="D992">
        <v>124</v>
      </c>
      <c r="E992" s="17" t="s">
        <v>33</v>
      </c>
      <c r="F992" s="18">
        <v>45288</v>
      </c>
      <c r="G992" s="2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1071</v>
      </c>
      <c r="C993" t="s">
        <v>57</v>
      </c>
      <c r="D993">
        <v>86</v>
      </c>
      <c r="E993" s="17" t="s">
        <v>31</v>
      </c>
      <c r="F993" s="18">
        <v>45288</v>
      </c>
      <c r="G993" s="22">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1072</v>
      </c>
      <c r="C994" t="s">
        <v>64</v>
      </c>
      <c r="D994">
        <v>164</v>
      </c>
      <c r="E994" s="17" t="s">
        <v>31</v>
      </c>
      <c r="F994" s="18">
        <v>45289</v>
      </c>
      <c r="G994" s="22">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1073</v>
      </c>
      <c r="C995" t="s">
        <v>55</v>
      </c>
      <c r="D995">
        <v>40</v>
      </c>
      <c r="E995" s="17" t="s">
        <v>30</v>
      </c>
      <c r="F995" s="18">
        <v>45289</v>
      </c>
      <c r="G995" s="22">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1074</v>
      </c>
      <c r="C996" t="s">
        <v>67</v>
      </c>
      <c r="D996">
        <v>76</v>
      </c>
      <c r="E996" s="17" t="s">
        <v>22</v>
      </c>
      <c r="F996" s="18">
        <v>45289</v>
      </c>
      <c r="G996" s="22">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1075</v>
      </c>
      <c r="C997" t="s">
        <v>65</v>
      </c>
      <c r="D997">
        <v>95</v>
      </c>
      <c r="E997" s="17" t="s">
        <v>32</v>
      </c>
      <c r="F997" s="18">
        <v>45289</v>
      </c>
      <c r="G997" s="22">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1076</v>
      </c>
      <c r="C998" t="s">
        <v>67</v>
      </c>
      <c r="D998">
        <v>113</v>
      </c>
      <c r="E998" s="17" t="s">
        <v>33</v>
      </c>
      <c r="F998" s="18">
        <v>45290</v>
      </c>
      <c r="G998" s="22">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1077</v>
      </c>
      <c r="C999" t="s">
        <v>57</v>
      </c>
      <c r="D999">
        <v>81</v>
      </c>
      <c r="E999" s="17" t="s">
        <v>33</v>
      </c>
      <c r="F999" s="18">
        <v>45290</v>
      </c>
      <c r="G999" s="22">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1078</v>
      </c>
      <c r="C1000" t="s">
        <v>58</v>
      </c>
      <c r="D1000">
        <v>127</v>
      </c>
      <c r="E1000" s="17" t="s">
        <v>32</v>
      </c>
      <c r="F1000" s="18">
        <v>45290</v>
      </c>
      <c r="G1000" s="22">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1079</v>
      </c>
      <c r="C1001" t="s">
        <v>61</v>
      </c>
      <c r="D1001">
        <v>146</v>
      </c>
      <c r="E1001" s="17" t="s">
        <v>33</v>
      </c>
      <c r="F1001" s="18">
        <v>45291</v>
      </c>
      <c r="G1001" s="22">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1080</v>
      </c>
      <c r="C1002" t="s">
        <v>60</v>
      </c>
      <c r="D1002">
        <v>123</v>
      </c>
      <c r="E1002" s="17" t="s">
        <v>33</v>
      </c>
      <c r="F1002" s="18">
        <v>45291</v>
      </c>
      <c r="G1002" s="2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1081</v>
      </c>
      <c r="C1003" t="s">
        <v>66</v>
      </c>
      <c r="D1003">
        <v>114</v>
      </c>
      <c r="E1003" s="17" t="s">
        <v>22</v>
      </c>
      <c r="F1003" s="18">
        <v>45291</v>
      </c>
      <c r="G1003" s="22">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dataConsolidate/>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82AA-3473-4E94-B278-D336B1C14867}">
  <dimension ref="O20:X44"/>
  <sheetViews>
    <sheetView showGridLines="0" tabSelected="1" zoomScale="66" zoomScaleNormal="80" workbookViewId="0">
      <selection activeCell="Z35" sqref="Z35"/>
    </sheetView>
  </sheetViews>
  <sheetFormatPr defaultRowHeight="13.8" x14ac:dyDescent="0.25"/>
  <cols>
    <col min="1" max="1" width="2.59765625" style="33" customWidth="1"/>
    <col min="2" max="2" width="2.19921875" style="33" customWidth="1"/>
    <col min="3" max="14" width="8.69921875" style="33"/>
    <col min="15" max="15" width="8.69921875" style="33" customWidth="1"/>
    <col min="16" max="17" width="8.69921875" style="33"/>
    <col min="18" max="18" width="14.69921875" style="33" customWidth="1"/>
    <col min="19" max="19" width="14.09765625" style="33" customWidth="1"/>
    <col min="20" max="21" width="13.59765625" style="33" customWidth="1"/>
    <col min="22" max="22" width="12.69921875" style="33" customWidth="1"/>
    <col min="23" max="23" width="12.796875" style="33" customWidth="1"/>
    <col min="24" max="24" width="13.3984375" style="33" customWidth="1"/>
    <col min="25" max="36" width="8.69921875" style="33"/>
    <col min="37" max="16384" width="8.796875" style="33"/>
  </cols>
  <sheetData>
    <row r="20" spans="18:24" x14ac:dyDescent="0.25">
      <c r="R20" s="33" t="s">
        <v>1082</v>
      </c>
    </row>
    <row r="23" spans="18:24" x14ac:dyDescent="0.25">
      <c r="S23" s="34"/>
      <c r="T23" s="34"/>
      <c r="U23" s="34"/>
      <c r="V23" s="34"/>
      <c r="W23" s="34"/>
    </row>
    <row r="24" spans="18:24" x14ac:dyDescent="0.25">
      <c r="S24" s="34"/>
      <c r="T24" s="34"/>
      <c r="U24" s="34"/>
      <c r="V24" s="34"/>
      <c r="W24" s="34"/>
    </row>
    <row r="25" spans="18:24" x14ac:dyDescent="0.25">
      <c r="R25" s="35" t="str" cm="1">
        <f t="array" ref="R25:X43">IF(' Pivot_T'!A113:G131="","",' Pivot_T'!A113:G131)</f>
        <v/>
      </c>
      <c r="S25" s="36" t="str">
        <v>R01</v>
      </c>
      <c r="T25" s="36" t="str">
        <v>R02</v>
      </c>
      <c r="U25" s="36" t="str">
        <v>R03</v>
      </c>
      <c r="V25" s="36" t="str">
        <v>R04</v>
      </c>
      <c r="W25" s="36" t="str">
        <v>R05</v>
      </c>
      <c r="X25" s="37" t="str">
        <v>Grand Total</v>
      </c>
    </row>
    <row r="26" spans="18:24" x14ac:dyDescent="0.25">
      <c r="R26" s="38" t="str">
        <v>Cincinnati</v>
      </c>
      <c r="S26" s="39" t="str">
        <v/>
      </c>
      <c r="T26" s="39" t="str">
        <v/>
      </c>
      <c r="U26" s="39" t="str">
        <v/>
      </c>
      <c r="V26" s="39" t="str">
        <v/>
      </c>
      <c r="W26" s="39" t="str">
        <v/>
      </c>
      <c r="X26" s="40" t="str">
        <v/>
      </c>
    </row>
    <row r="27" spans="18:24" x14ac:dyDescent="0.25">
      <c r="R27" s="33" t="str">
        <v>C0003</v>
      </c>
      <c r="S27" s="34">
        <v>891</v>
      </c>
      <c r="T27" s="34">
        <v>1332</v>
      </c>
      <c r="U27" s="34">
        <v>1282</v>
      </c>
      <c r="V27" s="34">
        <v>739</v>
      </c>
      <c r="W27" s="34">
        <v>560</v>
      </c>
      <c r="X27" s="41">
        <v>4804</v>
      </c>
    </row>
    <row r="28" spans="18:24" x14ac:dyDescent="0.25">
      <c r="R28" s="33" t="str">
        <v>C0004</v>
      </c>
      <c r="S28" s="34">
        <v>1991</v>
      </c>
      <c r="T28" s="34">
        <v>1886</v>
      </c>
      <c r="U28" s="34">
        <v>1206</v>
      </c>
      <c r="V28" s="34">
        <v>884</v>
      </c>
      <c r="W28" s="34">
        <v>1722</v>
      </c>
      <c r="X28" s="42">
        <v>7689</v>
      </c>
    </row>
    <row r="29" spans="18:24" x14ac:dyDescent="0.25">
      <c r="R29" s="33" t="str">
        <v>C0011</v>
      </c>
      <c r="S29" s="34">
        <v>1163</v>
      </c>
      <c r="T29" s="34">
        <v>1180</v>
      </c>
      <c r="U29" s="34">
        <v>1616</v>
      </c>
      <c r="V29" s="34">
        <v>1043</v>
      </c>
      <c r="W29" s="34">
        <v>1747</v>
      </c>
      <c r="X29" s="42">
        <v>6749</v>
      </c>
    </row>
    <row r="30" spans="18:24" x14ac:dyDescent="0.25">
      <c r="R30" s="33" t="str">
        <v>C0012</v>
      </c>
      <c r="S30" s="34">
        <v>1438</v>
      </c>
      <c r="T30" s="34">
        <v>1616</v>
      </c>
      <c r="U30" s="34">
        <v>866</v>
      </c>
      <c r="V30" s="34">
        <v>829</v>
      </c>
      <c r="W30" s="34">
        <v>2070</v>
      </c>
      <c r="X30" s="42">
        <v>6819</v>
      </c>
    </row>
    <row r="31" spans="18:24" x14ac:dyDescent="0.25">
      <c r="R31" s="38" t="str">
        <v>Cleveland</v>
      </c>
      <c r="S31" s="34" t="str">
        <v/>
      </c>
      <c r="T31" s="34" t="str">
        <v/>
      </c>
      <c r="U31" s="34" t="str">
        <v/>
      </c>
      <c r="V31" s="34" t="str">
        <v/>
      </c>
      <c r="W31" s="34" t="str">
        <v/>
      </c>
      <c r="X31" s="42" t="str">
        <v/>
      </c>
    </row>
    <row r="32" spans="18:24" x14ac:dyDescent="0.25">
      <c r="R32" s="33" t="str">
        <v>C0002</v>
      </c>
      <c r="S32" s="34">
        <v>1233</v>
      </c>
      <c r="T32" s="34">
        <v>223</v>
      </c>
      <c r="U32" s="34">
        <v>1680</v>
      </c>
      <c r="V32" s="34">
        <v>990</v>
      </c>
      <c r="W32" s="34">
        <v>1508</v>
      </c>
      <c r="X32" s="42">
        <v>5634</v>
      </c>
    </row>
    <row r="33" spans="15:24" x14ac:dyDescent="0.25">
      <c r="R33" s="33" t="str">
        <v>C0007</v>
      </c>
      <c r="S33" s="34">
        <v>1598</v>
      </c>
      <c r="T33" s="34">
        <v>1907</v>
      </c>
      <c r="U33" s="34">
        <v>869</v>
      </c>
      <c r="V33" s="34">
        <v>1426</v>
      </c>
      <c r="W33" s="34">
        <v>1416</v>
      </c>
      <c r="X33" s="42">
        <v>7216</v>
      </c>
    </row>
    <row r="34" spans="15:24" x14ac:dyDescent="0.25">
      <c r="R34" s="33" t="str">
        <v>C0008</v>
      </c>
      <c r="S34" s="34">
        <v>900</v>
      </c>
      <c r="T34" s="34">
        <v>1016</v>
      </c>
      <c r="U34" s="34">
        <v>960</v>
      </c>
      <c r="V34" s="34">
        <v>940</v>
      </c>
      <c r="W34" s="34">
        <v>1193</v>
      </c>
      <c r="X34" s="42">
        <v>5009</v>
      </c>
    </row>
    <row r="35" spans="15:24" x14ac:dyDescent="0.25">
      <c r="R35" s="33" t="str">
        <v>C0010</v>
      </c>
      <c r="S35" s="34">
        <v>900</v>
      </c>
      <c r="T35" s="34">
        <v>1470</v>
      </c>
      <c r="U35" s="34">
        <v>1617</v>
      </c>
      <c r="V35" s="34">
        <v>1314</v>
      </c>
      <c r="W35" s="34">
        <v>941</v>
      </c>
      <c r="X35" s="42">
        <v>6242</v>
      </c>
    </row>
    <row r="36" spans="15:24" x14ac:dyDescent="0.25">
      <c r="O36" s="43"/>
      <c r="P36" s="43"/>
      <c r="Q36" s="43"/>
      <c r="R36" s="33" t="str">
        <v>C0013</v>
      </c>
      <c r="S36" s="34">
        <v>1255</v>
      </c>
      <c r="T36" s="34">
        <v>516</v>
      </c>
      <c r="U36" s="34">
        <v>1874</v>
      </c>
      <c r="V36" s="34">
        <v>1863</v>
      </c>
      <c r="W36" s="34">
        <v>1722</v>
      </c>
      <c r="X36" s="42">
        <v>7230</v>
      </c>
    </row>
    <row r="37" spans="15:24" x14ac:dyDescent="0.25">
      <c r="O37" s="44" t="s">
        <v>1082</v>
      </c>
      <c r="P37" s="43" t="s">
        <v>1082</v>
      </c>
      <c r="Q37" s="43"/>
      <c r="R37" s="33" t="str">
        <v>C0015</v>
      </c>
      <c r="S37" s="34">
        <v>1138</v>
      </c>
      <c r="T37" s="34">
        <v>1898</v>
      </c>
      <c r="U37" s="34">
        <v>1482</v>
      </c>
      <c r="V37" s="34">
        <v>846</v>
      </c>
      <c r="W37" s="34">
        <v>1154</v>
      </c>
      <c r="X37" s="42">
        <v>6518</v>
      </c>
    </row>
    <row r="38" spans="15:24" x14ac:dyDescent="0.25">
      <c r="O38" s="43" t="s">
        <v>1082</v>
      </c>
      <c r="P38" s="43"/>
      <c r="Q38" s="43"/>
      <c r="R38" s="38" t="str">
        <v>Columbus</v>
      </c>
      <c r="S38" s="34" t="str">
        <v/>
      </c>
      <c r="T38" s="34" t="str">
        <v/>
      </c>
      <c r="U38" s="34" t="str">
        <v/>
      </c>
      <c r="V38" s="34" t="str">
        <v/>
      </c>
      <c r="W38" s="34" t="str">
        <v/>
      </c>
      <c r="X38" s="42" t="str">
        <v/>
      </c>
    </row>
    <row r="39" spans="15:24" x14ac:dyDescent="0.25">
      <c r="O39" s="43" t="s">
        <v>1082</v>
      </c>
      <c r="P39" s="43"/>
      <c r="Q39" s="43"/>
      <c r="R39" s="33" t="str">
        <v>C0001</v>
      </c>
      <c r="S39" s="34">
        <v>1655</v>
      </c>
      <c r="T39" s="34">
        <v>805</v>
      </c>
      <c r="U39" s="34">
        <v>2263</v>
      </c>
      <c r="V39" s="34">
        <v>987</v>
      </c>
      <c r="W39" s="34">
        <v>1075</v>
      </c>
      <c r="X39" s="42">
        <v>6785</v>
      </c>
    </row>
    <row r="40" spans="15:24" x14ac:dyDescent="0.25">
      <c r="O40" s="43" t="s">
        <v>1082</v>
      </c>
      <c r="P40" s="43"/>
      <c r="Q40" s="43"/>
      <c r="R40" s="33" t="str">
        <v>C0005</v>
      </c>
      <c r="S40" s="34">
        <v>1104</v>
      </c>
      <c r="T40" s="34">
        <v>2280</v>
      </c>
      <c r="U40" s="34">
        <v>1445</v>
      </c>
      <c r="V40" s="34">
        <v>1722</v>
      </c>
      <c r="W40" s="34">
        <v>1196</v>
      </c>
      <c r="X40" s="42">
        <v>7747</v>
      </c>
    </row>
    <row r="41" spans="15:24" x14ac:dyDescent="0.25">
      <c r="O41" s="43"/>
      <c r="P41" s="43"/>
      <c r="Q41" s="43"/>
      <c r="R41" s="33" t="str">
        <v>C0006</v>
      </c>
      <c r="S41" s="34">
        <v>372</v>
      </c>
      <c r="T41" s="34">
        <v>1818</v>
      </c>
      <c r="U41" s="34">
        <v>1346</v>
      </c>
      <c r="V41" s="34">
        <v>1156</v>
      </c>
      <c r="W41" s="34">
        <v>1484</v>
      </c>
      <c r="X41" s="42">
        <v>6176</v>
      </c>
    </row>
    <row r="42" spans="15:24" x14ac:dyDescent="0.25">
      <c r="O42" s="43"/>
      <c r="P42" s="43"/>
      <c r="Q42" s="43"/>
      <c r="R42" s="33" t="str">
        <v>C0009</v>
      </c>
      <c r="S42" s="34">
        <v>1415</v>
      </c>
      <c r="T42" s="34">
        <v>1271</v>
      </c>
      <c r="U42" s="34">
        <v>1214</v>
      </c>
      <c r="V42" s="34">
        <v>1135</v>
      </c>
      <c r="W42" s="34">
        <v>1566</v>
      </c>
      <c r="X42" s="42">
        <v>6601</v>
      </c>
    </row>
    <row r="43" spans="15:24" x14ac:dyDescent="0.25">
      <c r="O43" s="43"/>
      <c r="P43" s="43"/>
      <c r="Q43" s="43"/>
      <c r="R43" s="45" t="str">
        <v>C0014</v>
      </c>
      <c r="S43" s="46">
        <v>1362</v>
      </c>
      <c r="T43" s="46">
        <v>1363</v>
      </c>
      <c r="U43" s="46">
        <v>1152</v>
      </c>
      <c r="V43" s="46">
        <v>777</v>
      </c>
      <c r="W43" s="46">
        <v>750</v>
      </c>
      <c r="X43" s="47">
        <v>5404</v>
      </c>
    </row>
    <row r="44" spans="15:24" x14ac:dyDescent="0.25">
      <c r="S44" s="34"/>
      <c r="T44" s="34"/>
      <c r="U44" s="34"/>
      <c r="V44" s="34"/>
      <c r="W44" s="34"/>
      <c r="X44" s="34"/>
    </row>
  </sheetData>
  <phoneticPr fontId="2" type="noConversion"/>
  <conditionalFormatting sqref="R25:X43">
    <cfRule type="dataBar" priority="2">
      <dataBar>
        <cfvo type="num" val="0"/>
        <cfvo type="formula" val="MAX($S$26:$X$43)*2"/>
        <color rgb="FF008AEF"/>
      </dataBar>
      <extLst>
        <ext xmlns:x14="http://schemas.microsoft.com/office/spreadsheetml/2009/9/main" uri="{B025F937-C7B1-47D3-B67F-A62EFF666E3E}">
          <x14:id>{767E03ED-8498-44F5-8250-CA2234C3C3B2}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67E03ED-8498-44F5-8250-CA2234C3C3B2}">
            <x14:dataBar minLength="0" maxLength="100" border="1" negativeBarBorderColorSameAsPositive="0">
              <x14:cfvo type="num">
                <xm:f>0</xm:f>
              </x14:cfvo>
              <x14:cfvo type="formula">
                <xm:f>MAX($S$26:$X$43)*2</xm:f>
              </x14:cfvo>
              <x14:borderColor rgb="FF008AEF"/>
              <x14:negativeFillColor rgb="FFFF0000"/>
              <x14:negativeBorderColor rgb="FFFF0000"/>
              <x14:axisColor rgb="FF000000"/>
            </x14:dataBar>
          </x14:cfRule>
          <xm:sqref>R25:X43</xm:sqref>
        </x14:conditionalFormatting>
        <x14:conditionalFormatting xmlns:xm="http://schemas.microsoft.com/office/excel/2006/main">
          <x14:cfRule type="expression" priority="1" id="{D34FF778-4BBF-4AE1-9C95-217ED646556B}">
            <xm:f>S$25=' Pivot_T'!$A$69</xm:f>
            <x14:dxf>
              <fill>
                <patternFill>
                  <bgColor theme="5" tint="0.39994506668294322"/>
                </patternFill>
              </fill>
            </x14:dxf>
          </x14:cfRule>
          <xm:sqref>S25:X43</xm:sqref>
        </x14:conditionalFormatting>
        <x14:conditionalFormatting xmlns:xm="http://schemas.microsoft.com/office/excel/2006/main">
          <x14:cfRule type="expression" priority="7" id="{25D3E61E-445F-4028-A54A-4F5A85A139E4}">
            <xm:f>S$25=' Pivot_T'!$A$69</xm:f>
            <x14:dxf/>
          </x14:cfRule>
          <xm:sqref>X46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87A8D-5C0A-467F-BDE1-B3CA6ABBAD91}">
  <dimension ref="A3:M131"/>
  <sheetViews>
    <sheetView showGridLines="0" zoomScale="86" workbookViewId="0">
      <selection activeCell="L13" sqref="L13"/>
    </sheetView>
  </sheetViews>
  <sheetFormatPr defaultRowHeight="13.8" x14ac:dyDescent="0.25"/>
  <cols>
    <col min="1" max="1" width="13.796875" style="23" bestFit="1" customWidth="1"/>
    <col min="2" max="2" width="11.3984375" style="23" bestFit="1" customWidth="1"/>
    <col min="3" max="3" width="11.09765625" style="23" customWidth="1"/>
    <col min="4" max="4" width="24.09765625" style="23" bestFit="1" customWidth="1"/>
    <col min="5" max="5" width="13.09765625" style="23" bestFit="1" customWidth="1"/>
    <col min="6" max="6" width="7.19921875" style="23" bestFit="1" customWidth="1"/>
    <col min="7" max="7" width="11.3984375" style="23" bestFit="1" customWidth="1"/>
    <col min="8" max="8" width="13.3984375" style="23" bestFit="1" customWidth="1"/>
    <col min="9" max="9" width="6.296875" style="23" bestFit="1" customWidth="1"/>
    <col min="10" max="10" width="6.19921875" style="23" bestFit="1" customWidth="1"/>
    <col min="11" max="11" width="10.8984375" style="23" bestFit="1" customWidth="1"/>
    <col min="12" max="12" width="6.19921875" style="23" bestFit="1" customWidth="1"/>
    <col min="13" max="13" width="2.09765625" style="23" bestFit="1" customWidth="1"/>
    <col min="14" max="17" width="6.19921875" style="23" bestFit="1" customWidth="1"/>
    <col min="18" max="18" width="11" style="23" bestFit="1" customWidth="1"/>
    <col min="19" max="16384" width="8.796875" style="23"/>
  </cols>
  <sheetData>
    <row r="3" spans="1:5" x14ac:dyDescent="0.25">
      <c r="A3" s="23" t="s">
        <v>0</v>
      </c>
      <c r="B3" s="23" t="s">
        <v>1</v>
      </c>
      <c r="C3" s="23" t="s">
        <v>2</v>
      </c>
      <c r="D3" s="23" t="s">
        <v>3</v>
      </c>
      <c r="E3" s="23" t="s">
        <v>4</v>
      </c>
    </row>
    <row r="4" spans="1:5" x14ac:dyDescent="0.25">
      <c r="A4" s="24">
        <v>1000</v>
      </c>
      <c r="B4" s="25">
        <v>96623</v>
      </c>
      <c r="C4" s="24">
        <v>89850</v>
      </c>
      <c r="D4" s="26">
        <v>3.964</v>
      </c>
      <c r="E4" s="24">
        <v>307</v>
      </c>
    </row>
    <row r="11" spans="1:5" x14ac:dyDescent="0.25">
      <c r="A11" s="23" t="s">
        <v>0</v>
      </c>
      <c r="B11" s="23" t="s">
        <v>1</v>
      </c>
      <c r="C11" s="23" t="s">
        <v>2</v>
      </c>
      <c r="D11" s="23" t="s">
        <v>3</v>
      </c>
      <c r="E11" s="23" t="s">
        <v>4</v>
      </c>
    </row>
    <row r="12" spans="1:5" x14ac:dyDescent="0.25">
      <c r="A12" s="24">
        <v>218</v>
      </c>
      <c r="B12" s="25">
        <v>20581</v>
      </c>
      <c r="C12" s="24">
        <v>19300</v>
      </c>
      <c r="D12" s="26">
        <v>3.9633027522935782</v>
      </c>
      <c r="E12" s="24">
        <v>74</v>
      </c>
    </row>
    <row r="23" spans="2:4" x14ac:dyDescent="0.25">
      <c r="B23" s="23" t="s">
        <v>5</v>
      </c>
      <c r="C23" s="23" t="s">
        <v>0</v>
      </c>
      <c r="D23" s="23" t="s">
        <v>6</v>
      </c>
    </row>
    <row r="24" spans="2:4" x14ac:dyDescent="0.25">
      <c r="B24" s="27" t="s">
        <v>7</v>
      </c>
      <c r="C24" s="24">
        <v>19</v>
      </c>
      <c r="D24" s="24">
        <v>19</v>
      </c>
    </row>
    <row r="25" spans="2:4" x14ac:dyDescent="0.25">
      <c r="B25" s="27" t="s">
        <v>8</v>
      </c>
      <c r="C25" s="24">
        <v>10</v>
      </c>
      <c r="D25" s="24">
        <v>10</v>
      </c>
    </row>
    <row r="26" spans="2:4" x14ac:dyDescent="0.25">
      <c r="B26" s="27" t="s">
        <v>9</v>
      </c>
      <c r="C26" s="24">
        <v>40</v>
      </c>
      <c r="D26" s="24">
        <v>40</v>
      </c>
    </row>
    <row r="27" spans="2:4" x14ac:dyDescent="0.25">
      <c r="B27" s="27" t="s">
        <v>10</v>
      </c>
      <c r="C27" s="24">
        <v>40</v>
      </c>
      <c r="D27" s="24">
        <v>40</v>
      </c>
    </row>
    <row r="28" spans="2:4" x14ac:dyDescent="0.25">
      <c r="B28" s="27" t="s">
        <v>11</v>
      </c>
      <c r="C28" s="24">
        <v>13</v>
      </c>
      <c r="D28" s="24">
        <v>13</v>
      </c>
    </row>
    <row r="29" spans="2:4" x14ac:dyDescent="0.25">
      <c r="B29" s="27" t="s">
        <v>12</v>
      </c>
      <c r="C29" s="24">
        <v>12</v>
      </c>
      <c r="D29" s="24">
        <v>12</v>
      </c>
    </row>
    <row r="30" spans="2:4" x14ac:dyDescent="0.25">
      <c r="B30" s="27" t="s">
        <v>13</v>
      </c>
      <c r="C30" s="24">
        <v>9</v>
      </c>
      <c r="D30" s="24">
        <v>9</v>
      </c>
    </row>
    <row r="31" spans="2:4" x14ac:dyDescent="0.25">
      <c r="B31" s="27" t="s">
        <v>14</v>
      </c>
      <c r="C31" s="24">
        <v>13</v>
      </c>
      <c r="D31" s="24">
        <v>13</v>
      </c>
    </row>
    <row r="32" spans="2:4" x14ac:dyDescent="0.25">
      <c r="B32" s="27" t="s">
        <v>15</v>
      </c>
      <c r="C32" s="24">
        <v>18</v>
      </c>
      <c r="D32" s="24">
        <v>18</v>
      </c>
    </row>
    <row r="33" spans="2:4" x14ac:dyDescent="0.25">
      <c r="B33" s="27" t="s">
        <v>16</v>
      </c>
      <c r="C33" s="24">
        <v>21</v>
      </c>
      <c r="D33" s="24">
        <v>21</v>
      </c>
    </row>
    <row r="34" spans="2:4" x14ac:dyDescent="0.25">
      <c r="B34" s="27" t="s">
        <v>17</v>
      </c>
      <c r="C34" s="24">
        <v>14</v>
      </c>
      <c r="D34" s="24">
        <v>14</v>
      </c>
    </row>
    <row r="35" spans="2:4" x14ac:dyDescent="0.25">
      <c r="B35" s="27" t="s">
        <v>18</v>
      </c>
      <c r="C35" s="24">
        <v>9</v>
      </c>
      <c r="D35" s="24">
        <v>9</v>
      </c>
    </row>
    <row r="36" spans="2:4" x14ac:dyDescent="0.25">
      <c r="B36" s="27" t="s">
        <v>19</v>
      </c>
      <c r="C36" s="24">
        <v>218</v>
      </c>
      <c r="D36" s="24">
        <v>218</v>
      </c>
    </row>
    <row r="43" spans="2:4" x14ac:dyDescent="0.25">
      <c r="B43" s="23" t="s">
        <v>5</v>
      </c>
      <c r="C43" s="23" t="s">
        <v>20</v>
      </c>
      <c r="D43" s="23" t="s">
        <v>21</v>
      </c>
    </row>
    <row r="44" spans="2:4" x14ac:dyDescent="0.25">
      <c r="B44" s="27" t="s">
        <v>30</v>
      </c>
      <c r="C44" s="23">
        <v>218</v>
      </c>
      <c r="D44" s="23">
        <v>20581</v>
      </c>
    </row>
    <row r="45" spans="2:4" x14ac:dyDescent="0.25">
      <c r="B45" s="27" t="s">
        <v>19</v>
      </c>
      <c r="C45" s="23">
        <v>218</v>
      </c>
      <c r="D45" s="23">
        <v>20581</v>
      </c>
    </row>
    <row r="50" spans="2:9" x14ac:dyDescent="0.25">
      <c r="B50" s="23" t="s">
        <v>23</v>
      </c>
      <c r="D50" s="23" t="s">
        <v>24</v>
      </c>
      <c r="E50" s="23" t="str">
        <f>A69</f>
        <v>R02</v>
      </c>
    </row>
    <row r="53" spans="2:9" x14ac:dyDescent="0.25">
      <c r="B53" s="23" t="s">
        <v>25</v>
      </c>
      <c r="C53" s="23" t="s">
        <v>26</v>
      </c>
      <c r="D53" s="28" t="s">
        <v>27</v>
      </c>
      <c r="E53" s="23" t="s">
        <v>28</v>
      </c>
      <c r="F53" s="23" t="s">
        <v>29</v>
      </c>
      <c r="H53" s="29"/>
    </row>
    <row r="54" spans="2:9" x14ac:dyDescent="0.25">
      <c r="B54" s="27" t="s">
        <v>22</v>
      </c>
      <c r="C54" s="23">
        <v>189</v>
      </c>
      <c r="D54" s="30">
        <v>18415</v>
      </c>
      <c r="E54" s="23" t="e">
        <f>IF(B54=$E$50,C54,NA())</f>
        <v>#N/A</v>
      </c>
      <c r="F54" s="30" t="e">
        <f>IF(B54=E50,D54,NA())</f>
        <v>#N/A</v>
      </c>
    </row>
    <row r="55" spans="2:9" x14ac:dyDescent="0.25">
      <c r="B55" s="27" t="s">
        <v>30</v>
      </c>
      <c r="C55" s="23">
        <v>218</v>
      </c>
      <c r="D55" s="30">
        <v>20581</v>
      </c>
      <c r="E55" s="23">
        <f>IF(B55=E50,C55,NA())</f>
        <v>218</v>
      </c>
      <c r="F55" s="30">
        <f>IF(B55=E50,D55,NA())</f>
        <v>20581</v>
      </c>
    </row>
    <row r="56" spans="2:9" x14ac:dyDescent="0.25">
      <c r="B56" s="27" t="s">
        <v>31</v>
      </c>
      <c r="C56" s="23">
        <v>207</v>
      </c>
      <c r="D56" s="30">
        <v>20872</v>
      </c>
      <c r="E56" s="23" t="e">
        <f>IF(B56=E50,C56,NA())</f>
        <v>#N/A</v>
      </c>
      <c r="F56" s="30" t="e">
        <f>IF(B56=E50,D56,NA())</f>
        <v>#N/A</v>
      </c>
    </row>
    <row r="57" spans="2:9" x14ac:dyDescent="0.25">
      <c r="B57" s="27" t="s">
        <v>32</v>
      </c>
      <c r="C57" s="23">
        <v>186</v>
      </c>
      <c r="D57" s="30">
        <v>16651</v>
      </c>
      <c r="E57" s="23" t="e">
        <f>IF(B57=E50,C57,NA())</f>
        <v>#N/A</v>
      </c>
      <c r="F57" s="30" t="e">
        <f>IF(B57=E50,D57,NA())</f>
        <v>#N/A</v>
      </c>
    </row>
    <row r="58" spans="2:9" x14ac:dyDescent="0.25">
      <c r="B58" s="27" t="s">
        <v>33</v>
      </c>
      <c r="C58" s="23">
        <v>200</v>
      </c>
      <c r="D58" s="30">
        <v>20104</v>
      </c>
      <c r="E58" s="23" t="e">
        <f>IF(B58=E50,C58,NA())</f>
        <v>#N/A</v>
      </c>
      <c r="F58" s="30" t="e">
        <f>IF(B58=E50,D58,NA())</f>
        <v>#N/A</v>
      </c>
    </row>
    <row r="62" spans="2:9" x14ac:dyDescent="0.25">
      <c r="H62" s="23" t="s">
        <v>34</v>
      </c>
    </row>
    <row r="64" spans="2:9" x14ac:dyDescent="0.25">
      <c r="H64" s="23" t="s">
        <v>35</v>
      </c>
      <c r="I64" s="31">
        <f>A12/A4</f>
        <v>0.218</v>
      </c>
    </row>
    <row r="66" spans="1:13" x14ac:dyDescent="0.25">
      <c r="H66" s="23" t="s">
        <v>36</v>
      </c>
      <c r="I66" s="23">
        <f>_xlfn.XLOOKUP(A69,B54:B58,C54:C58)</f>
        <v>218</v>
      </c>
      <c r="K66" s="23" t="s">
        <v>37</v>
      </c>
      <c r="M66" s="23">
        <f>_xlfn.RANK.AVG(I66,C54:C58)</f>
        <v>1</v>
      </c>
    </row>
    <row r="67" spans="1:13" x14ac:dyDescent="0.25">
      <c r="H67" s="23" t="s">
        <v>38</v>
      </c>
      <c r="I67" s="23">
        <f>_xlfn.XLOOKUP(A69,B54:B58,D54:D58)</f>
        <v>20581</v>
      </c>
      <c r="K67" s="23" t="s">
        <v>39</v>
      </c>
      <c r="M67" s="23">
        <f>_xlfn.RANK.AVG(I67,D54:D58)</f>
        <v>2</v>
      </c>
    </row>
    <row r="68" spans="1:13" x14ac:dyDescent="0.25">
      <c r="A68" s="23" t="s">
        <v>5</v>
      </c>
    </row>
    <row r="69" spans="1:13" x14ac:dyDescent="0.25">
      <c r="A69" s="27" t="s">
        <v>30</v>
      </c>
    </row>
    <row r="70" spans="1:13" x14ac:dyDescent="0.25">
      <c r="G70" s="23" t="s">
        <v>1083</v>
      </c>
      <c r="H70" s="23" t="str">
        <f>IF(COUNTA(A69:A74)&gt;1,"","% of calls: "&amp;TEXT(I64,"0%"))</f>
        <v>% of calls: 22%</v>
      </c>
    </row>
    <row r="71" spans="1:13" x14ac:dyDescent="0.25">
      <c r="G71" s="23" t="s">
        <v>1085</v>
      </c>
      <c r="H71" s="23" t="str">
        <f>IF(COUNTA(A69:A74)&gt;1,"","Call Rank: "&amp;M66)</f>
        <v>Call Rank: 1</v>
      </c>
    </row>
    <row r="72" spans="1:13" x14ac:dyDescent="0.25">
      <c r="G72" s="23" t="s">
        <v>1084</v>
      </c>
      <c r="H72" s="23" t="str">
        <f>IF(COUNTA(A70:A75)&gt;1,"","Amount Rank: "&amp;M67)</f>
        <v>Amount Rank: 2</v>
      </c>
    </row>
    <row r="74" spans="1:13" x14ac:dyDescent="0.25">
      <c r="H74" s="23" t="str">
        <f>_xlfn.XLOOKUP(A69,B54:B58,B54:B58)</f>
        <v>R02</v>
      </c>
    </row>
    <row r="75" spans="1:13" x14ac:dyDescent="0.25">
      <c r="H75" s="23" t="str">
        <f>IF(COUNTA(A72:A77)&gt;1,"","Rep: "&amp;H74)</f>
        <v>Rep: R02</v>
      </c>
    </row>
    <row r="76" spans="1:13" x14ac:dyDescent="0.25">
      <c r="A76" s="27"/>
    </row>
    <row r="79" spans="1:13" x14ac:dyDescent="0.25">
      <c r="A79" s="23" t="s">
        <v>0</v>
      </c>
      <c r="B79" s="23" t="s">
        <v>40</v>
      </c>
    </row>
    <row r="80" spans="1:13" x14ac:dyDescent="0.25">
      <c r="A80" s="23" t="s">
        <v>5</v>
      </c>
      <c r="B80" s="23" t="s">
        <v>41</v>
      </c>
      <c r="C80" s="23" t="s">
        <v>42</v>
      </c>
    </row>
    <row r="81" spans="1:3" x14ac:dyDescent="0.25">
      <c r="A81" s="27" t="s">
        <v>43</v>
      </c>
      <c r="B81" s="24">
        <v>27</v>
      </c>
      <c r="C81" s="24">
        <v>35</v>
      </c>
    </row>
    <row r="82" spans="1:3" x14ac:dyDescent="0.25">
      <c r="A82" s="27" t="s">
        <v>44</v>
      </c>
      <c r="B82" s="24">
        <v>76</v>
      </c>
      <c r="C82" s="24">
        <v>5</v>
      </c>
    </row>
    <row r="83" spans="1:3" x14ac:dyDescent="0.25">
      <c r="A83" s="27" t="s">
        <v>45</v>
      </c>
      <c r="B83" s="24">
        <v>27</v>
      </c>
      <c r="C83" s="24">
        <v>48</v>
      </c>
    </row>
    <row r="91" spans="1:3" x14ac:dyDescent="0.25">
      <c r="A91" s="23" t="s">
        <v>5</v>
      </c>
      <c r="B91" s="23" t="s">
        <v>0</v>
      </c>
    </row>
    <row r="92" spans="1:3" x14ac:dyDescent="0.25">
      <c r="A92" s="27" t="s">
        <v>46</v>
      </c>
      <c r="B92" s="24">
        <v>28</v>
      </c>
    </row>
    <row r="93" spans="1:3" x14ac:dyDescent="0.25">
      <c r="A93" s="27" t="s">
        <v>47</v>
      </c>
      <c r="B93" s="24">
        <v>24</v>
      </c>
    </row>
    <row r="94" spans="1:3" x14ac:dyDescent="0.25">
      <c r="A94" s="27" t="s">
        <v>48</v>
      </c>
      <c r="B94" s="24">
        <v>44</v>
      </c>
    </row>
    <row r="95" spans="1:3" x14ac:dyDescent="0.25">
      <c r="A95" s="27" t="s">
        <v>49</v>
      </c>
      <c r="B95" s="24">
        <v>36</v>
      </c>
    </row>
    <row r="96" spans="1:3" x14ac:dyDescent="0.25">
      <c r="A96" s="27" t="s">
        <v>50</v>
      </c>
      <c r="B96" s="24">
        <v>33</v>
      </c>
    </row>
    <row r="97" spans="1:2" x14ac:dyDescent="0.25">
      <c r="A97" s="27" t="s">
        <v>51</v>
      </c>
      <c r="B97" s="24">
        <v>29</v>
      </c>
    </row>
    <row r="98" spans="1:2" x14ac:dyDescent="0.25">
      <c r="A98" s="27" t="s">
        <v>52</v>
      </c>
      <c r="B98" s="24">
        <v>24</v>
      </c>
    </row>
    <row r="102" spans="1:2" x14ac:dyDescent="0.25">
      <c r="A102" s="23" t="s">
        <v>5</v>
      </c>
      <c r="B102" s="23" t="s">
        <v>0</v>
      </c>
    </row>
    <row r="103" spans="1:2" x14ac:dyDescent="0.25">
      <c r="A103" s="27">
        <v>1</v>
      </c>
      <c r="B103" s="24">
        <v>3</v>
      </c>
    </row>
    <row r="104" spans="1:2" x14ac:dyDescent="0.25">
      <c r="A104" s="27">
        <v>2</v>
      </c>
      <c r="B104" s="24">
        <v>19</v>
      </c>
    </row>
    <row r="105" spans="1:2" x14ac:dyDescent="0.25">
      <c r="A105" s="27">
        <v>3</v>
      </c>
      <c r="B105" s="24">
        <v>35</v>
      </c>
    </row>
    <row r="106" spans="1:2" x14ac:dyDescent="0.25">
      <c r="A106" s="27">
        <v>4</v>
      </c>
      <c r="B106" s="24">
        <v>87</v>
      </c>
    </row>
    <row r="107" spans="1:2" x14ac:dyDescent="0.25">
      <c r="A107" s="27">
        <v>5</v>
      </c>
      <c r="B107" s="24">
        <v>74</v>
      </c>
    </row>
    <row r="112" spans="1:2" x14ac:dyDescent="0.25">
      <c r="A112" s="23" t="s">
        <v>21</v>
      </c>
    </row>
    <row r="113" spans="1:7" x14ac:dyDescent="0.25">
      <c r="B113" s="23" t="s">
        <v>22</v>
      </c>
      <c r="C113" s="23" t="s">
        <v>30</v>
      </c>
      <c r="D113" s="23" t="s">
        <v>31</v>
      </c>
      <c r="E113" s="23" t="s">
        <v>32</v>
      </c>
      <c r="F113" s="23" t="s">
        <v>33</v>
      </c>
      <c r="G113" s="23" t="s">
        <v>19</v>
      </c>
    </row>
    <row r="114" spans="1:7" x14ac:dyDescent="0.25">
      <c r="A114" s="27" t="s">
        <v>43</v>
      </c>
    </row>
    <row r="115" spans="1:7" x14ac:dyDescent="0.25">
      <c r="A115" s="32" t="s">
        <v>53</v>
      </c>
      <c r="B115" s="29">
        <v>891</v>
      </c>
      <c r="C115" s="29">
        <v>1332</v>
      </c>
      <c r="D115" s="29">
        <v>1282</v>
      </c>
      <c r="E115" s="29">
        <v>739</v>
      </c>
      <c r="F115" s="29">
        <v>560</v>
      </c>
      <c r="G115" s="29">
        <v>4804</v>
      </c>
    </row>
    <row r="116" spans="1:7" x14ac:dyDescent="0.25">
      <c r="A116" s="32" t="s">
        <v>54</v>
      </c>
      <c r="B116" s="29">
        <v>1991</v>
      </c>
      <c r="C116" s="29">
        <v>1886</v>
      </c>
      <c r="D116" s="29">
        <v>1206</v>
      </c>
      <c r="E116" s="29">
        <v>884</v>
      </c>
      <c r="F116" s="29">
        <v>1722</v>
      </c>
      <c r="G116" s="29">
        <v>7689</v>
      </c>
    </row>
    <row r="117" spans="1:7" x14ac:dyDescent="0.25">
      <c r="A117" s="32" t="s">
        <v>55</v>
      </c>
      <c r="B117" s="29">
        <v>1163</v>
      </c>
      <c r="C117" s="29">
        <v>1180</v>
      </c>
      <c r="D117" s="29">
        <v>1616</v>
      </c>
      <c r="E117" s="29">
        <v>1043</v>
      </c>
      <c r="F117" s="29">
        <v>1747</v>
      </c>
      <c r="G117" s="29">
        <v>6749</v>
      </c>
    </row>
    <row r="118" spans="1:7" x14ac:dyDescent="0.25">
      <c r="A118" s="32" t="s">
        <v>56</v>
      </c>
      <c r="B118" s="29">
        <v>1438</v>
      </c>
      <c r="C118" s="29">
        <v>1616</v>
      </c>
      <c r="D118" s="29">
        <v>866</v>
      </c>
      <c r="E118" s="29">
        <v>829</v>
      </c>
      <c r="F118" s="29">
        <v>2070</v>
      </c>
      <c r="G118" s="29">
        <v>6819</v>
      </c>
    </row>
    <row r="119" spans="1:7" x14ac:dyDescent="0.25">
      <c r="A119" s="27" t="s">
        <v>44</v>
      </c>
    </row>
    <row r="120" spans="1:7" x14ac:dyDescent="0.25">
      <c r="A120" s="32" t="s">
        <v>57</v>
      </c>
      <c r="B120" s="29">
        <v>1233</v>
      </c>
      <c r="C120" s="29">
        <v>223</v>
      </c>
      <c r="D120" s="29">
        <v>1680</v>
      </c>
      <c r="E120" s="29">
        <v>990</v>
      </c>
      <c r="F120" s="29">
        <v>1508</v>
      </c>
      <c r="G120" s="29">
        <v>5634</v>
      </c>
    </row>
    <row r="121" spans="1:7" x14ac:dyDescent="0.25">
      <c r="A121" s="32" t="s">
        <v>58</v>
      </c>
      <c r="B121" s="29">
        <v>1598</v>
      </c>
      <c r="C121" s="29">
        <v>1907</v>
      </c>
      <c r="D121" s="29">
        <v>869</v>
      </c>
      <c r="E121" s="29">
        <v>1426</v>
      </c>
      <c r="F121" s="29">
        <v>1416</v>
      </c>
      <c r="G121" s="29">
        <v>7216</v>
      </c>
    </row>
    <row r="122" spans="1:7" x14ac:dyDescent="0.25">
      <c r="A122" s="32" t="s">
        <v>59</v>
      </c>
      <c r="B122" s="29">
        <v>900</v>
      </c>
      <c r="C122" s="29">
        <v>1016</v>
      </c>
      <c r="D122" s="29">
        <v>960</v>
      </c>
      <c r="E122" s="29">
        <v>940</v>
      </c>
      <c r="F122" s="29">
        <v>1193</v>
      </c>
      <c r="G122" s="29">
        <v>5009</v>
      </c>
    </row>
    <row r="123" spans="1:7" x14ac:dyDescent="0.25">
      <c r="A123" s="32" t="s">
        <v>60</v>
      </c>
      <c r="B123" s="29">
        <v>900</v>
      </c>
      <c r="C123" s="29">
        <v>1470</v>
      </c>
      <c r="D123" s="29">
        <v>1617</v>
      </c>
      <c r="E123" s="29">
        <v>1314</v>
      </c>
      <c r="F123" s="29">
        <v>941</v>
      </c>
      <c r="G123" s="29">
        <v>6242</v>
      </c>
    </row>
    <row r="124" spans="1:7" x14ac:dyDescent="0.25">
      <c r="A124" s="32" t="s">
        <v>61</v>
      </c>
      <c r="B124" s="29">
        <v>1255</v>
      </c>
      <c r="C124" s="29">
        <v>516</v>
      </c>
      <c r="D124" s="29">
        <v>1874</v>
      </c>
      <c r="E124" s="29">
        <v>1863</v>
      </c>
      <c r="F124" s="29">
        <v>1722</v>
      </c>
      <c r="G124" s="29">
        <v>7230</v>
      </c>
    </row>
    <row r="125" spans="1:7" x14ac:dyDescent="0.25">
      <c r="A125" s="32" t="s">
        <v>62</v>
      </c>
      <c r="B125" s="29">
        <v>1138</v>
      </c>
      <c r="C125" s="29">
        <v>1898</v>
      </c>
      <c r="D125" s="29">
        <v>1482</v>
      </c>
      <c r="E125" s="29">
        <v>846</v>
      </c>
      <c r="F125" s="29">
        <v>1154</v>
      </c>
      <c r="G125" s="29">
        <v>6518</v>
      </c>
    </row>
    <row r="126" spans="1:7" x14ac:dyDescent="0.25">
      <c r="A126" s="27" t="s">
        <v>45</v>
      </c>
    </row>
    <row r="127" spans="1:7" x14ac:dyDescent="0.25">
      <c r="A127" s="32" t="s">
        <v>63</v>
      </c>
      <c r="B127" s="29">
        <v>1655</v>
      </c>
      <c r="C127" s="29">
        <v>805</v>
      </c>
      <c r="D127" s="29">
        <v>2263</v>
      </c>
      <c r="E127" s="29">
        <v>987</v>
      </c>
      <c r="F127" s="29">
        <v>1075</v>
      </c>
      <c r="G127" s="29">
        <v>6785</v>
      </c>
    </row>
    <row r="128" spans="1:7" x14ac:dyDescent="0.25">
      <c r="A128" s="32" t="s">
        <v>64</v>
      </c>
      <c r="B128" s="29">
        <v>1104</v>
      </c>
      <c r="C128" s="29">
        <v>2280</v>
      </c>
      <c r="D128" s="29">
        <v>1445</v>
      </c>
      <c r="E128" s="29">
        <v>1722</v>
      </c>
      <c r="F128" s="29">
        <v>1196</v>
      </c>
      <c r="G128" s="29">
        <v>7747</v>
      </c>
    </row>
    <row r="129" spans="1:7" x14ac:dyDescent="0.25">
      <c r="A129" s="32" t="s">
        <v>65</v>
      </c>
      <c r="B129" s="29">
        <v>372</v>
      </c>
      <c r="C129" s="29">
        <v>1818</v>
      </c>
      <c r="D129" s="29">
        <v>1346</v>
      </c>
      <c r="E129" s="29">
        <v>1156</v>
      </c>
      <c r="F129" s="29">
        <v>1484</v>
      </c>
      <c r="G129" s="29">
        <v>6176</v>
      </c>
    </row>
    <row r="130" spans="1:7" x14ac:dyDescent="0.25">
      <c r="A130" s="32" t="s">
        <v>66</v>
      </c>
      <c r="B130" s="29">
        <v>1415</v>
      </c>
      <c r="C130" s="29">
        <v>1271</v>
      </c>
      <c r="D130" s="29">
        <v>1214</v>
      </c>
      <c r="E130" s="29">
        <v>1135</v>
      </c>
      <c r="F130" s="29">
        <v>1566</v>
      </c>
      <c r="G130" s="29">
        <v>6601</v>
      </c>
    </row>
    <row r="131" spans="1:7" x14ac:dyDescent="0.25">
      <c r="A131" s="32" t="s">
        <v>67</v>
      </c>
      <c r="B131" s="29">
        <v>1362</v>
      </c>
      <c r="C131" s="29">
        <v>1363</v>
      </c>
      <c r="D131" s="29">
        <v>1152</v>
      </c>
      <c r="E131" s="29">
        <v>777</v>
      </c>
      <c r="F131" s="29">
        <v>750</v>
      </c>
      <c r="G131" s="29">
        <v>5404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D0898C1-D496-432F-93AE-5CF4CDDD0125}">
  <ds:schemaRefs/>
</ds:datastoreItem>
</file>

<file path=customXml/itemProps2.xml><?xml version="1.0" encoding="utf-8"?>
<ds:datastoreItem xmlns:ds="http://schemas.openxmlformats.org/officeDocument/2006/customXml" ds:itemID="{04AA57CD-901B-4F91-93C8-4D8B5EF8EAC0}">
  <ds:schemaRefs/>
</ds:datastoreItem>
</file>

<file path=customXml/itemProps3.xml><?xml version="1.0" encoding="utf-8"?>
<ds:datastoreItem xmlns:ds="http://schemas.openxmlformats.org/officeDocument/2006/customXml" ds:itemID="{E325FDC6-9A35-4B49-8F4F-A465D5F2E5ED}">
  <ds:schemaRefs/>
</ds:datastoreItem>
</file>

<file path=customXml/itemProps4.xml><?xml version="1.0" encoding="utf-8"?>
<ds:datastoreItem xmlns:ds="http://schemas.openxmlformats.org/officeDocument/2006/customXml" ds:itemID="{CA73580F-A281-4A19-88DA-A1DCEE286F6A}">
  <ds:schemaRefs/>
</ds:datastoreItem>
</file>

<file path=customXml/itemProps5.xml><?xml version="1.0" encoding="utf-8"?>
<ds:datastoreItem xmlns:ds="http://schemas.openxmlformats.org/officeDocument/2006/customXml" ds:itemID="{7D6CCFFE-5357-4960-8DB0-955B2F53B067}">
  <ds:schemaRefs/>
</ds:datastoreItem>
</file>

<file path=customXml/itemProps6.xml><?xml version="1.0" encoding="utf-8"?>
<ds:datastoreItem xmlns:ds="http://schemas.openxmlformats.org/officeDocument/2006/customXml" ds:itemID="{EED96A97-FB04-434E-8A90-AFD1D38A5D82}">
  <ds:schemaRefs/>
</ds:datastoreItem>
</file>

<file path=customXml/itemProps7.xml><?xml version="1.0" encoding="utf-8"?>
<ds:datastoreItem xmlns:ds="http://schemas.openxmlformats.org/officeDocument/2006/customXml" ds:itemID="{88E7B554-F2ED-485C-A4F1-6C13084D24AD}">
  <ds:schemaRefs/>
</ds:datastoreItem>
</file>

<file path=customXml/itemProps8.xml><?xml version="1.0" encoding="utf-8"?>
<ds:datastoreItem xmlns:ds="http://schemas.openxmlformats.org/officeDocument/2006/customXml" ds:itemID="{3B47C763-6201-4926-A554-BA6966F8B1E6}">
  <ds:schemaRefs/>
</ds:datastoreItem>
</file>

<file path=customXml/itemProps9.xml><?xml version="1.0" encoding="utf-8"?>
<ds:datastoreItem xmlns:ds="http://schemas.openxmlformats.org/officeDocument/2006/customXml" ds:itemID="{C27A8DA1-3F04-4C6B-BAC4-B5BFCF6D2A42}">
  <ds:schemaRefs/>
</ds:datastoreItem>
</file>

<file path=customXml/itemProps10.xml><?xml version="1.0" encoding="utf-8"?>
<ds:datastoreItem xmlns:ds="http://schemas.openxmlformats.org/officeDocument/2006/customXml" ds:itemID="{A7AD558B-97AB-4CB8-8832-C64255635A3E}">
  <ds:schemaRefs/>
</ds:datastoreItem>
</file>

<file path=customXml/itemProps11.xml><?xml version="1.0" encoding="utf-8"?>
<ds:datastoreItem xmlns:ds="http://schemas.openxmlformats.org/officeDocument/2006/customXml" ds:itemID="{5E1861D7-A6B5-4ACA-A10F-F5B08CAE7C1C}">
  <ds:schemaRefs/>
</ds:datastoreItem>
</file>

<file path=customXml/itemProps12.xml><?xml version="1.0" encoding="utf-8"?>
<ds:datastoreItem xmlns:ds="http://schemas.openxmlformats.org/officeDocument/2006/customXml" ds:itemID="{A828B6D2-F73A-4C74-94D8-89A3DABE6589}">
  <ds:schemaRefs/>
</ds:datastoreItem>
</file>

<file path=customXml/itemProps13.xml><?xml version="1.0" encoding="utf-8"?>
<ds:datastoreItem xmlns:ds="http://schemas.openxmlformats.org/officeDocument/2006/customXml" ds:itemID="{CB9C2831-6878-47C0-923E-4654F82E5675}">
  <ds:schemaRefs/>
</ds:datastoreItem>
</file>

<file path=customXml/itemProps14.xml><?xml version="1.0" encoding="utf-8"?>
<ds:datastoreItem xmlns:ds="http://schemas.openxmlformats.org/officeDocument/2006/customXml" ds:itemID="{6F3B1B31-F7CC-467C-BCE6-5D95317A064E}">
  <ds:schemaRefs/>
</ds:datastoreItem>
</file>

<file path=customXml/itemProps15.xml><?xml version="1.0" encoding="utf-8"?>
<ds:datastoreItem xmlns:ds="http://schemas.openxmlformats.org/officeDocument/2006/customXml" ds:itemID="{23B6DBE8-FF9C-4167-8AA2-18A70DE474D0}">
  <ds:schemaRefs/>
</ds:datastoreItem>
</file>

<file path=customXml/itemProps16.xml><?xml version="1.0" encoding="utf-8"?>
<ds:datastoreItem xmlns:ds="http://schemas.openxmlformats.org/officeDocument/2006/customXml" ds:itemID="{38ADF75D-D580-41E6-964C-B8F1E820A71B}">
  <ds:schemaRefs/>
</ds:datastoreItem>
</file>

<file path=customXml/itemProps17.xml><?xml version="1.0" encoding="utf-8"?>
<ds:datastoreItem xmlns:ds="http://schemas.openxmlformats.org/officeDocument/2006/customXml" ds:itemID="{5C011FE7-BFD7-4CE2-8CAD-6DB596BDC4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 Customer Center Report</vt:lpstr>
      <vt:lpstr> Pivot_T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Pawan Yadav</cp:lastModifiedBy>
  <cp:revision/>
  <dcterms:created xsi:type="dcterms:W3CDTF">2021-03-14T20:21:32Z</dcterms:created>
  <dcterms:modified xsi:type="dcterms:W3CDTF">2025-09-10T17:03:35Z</dcterms:modified>
  <cp:category/>
  <cp:contentStatus/>
</cp:coreProperties>
</file>